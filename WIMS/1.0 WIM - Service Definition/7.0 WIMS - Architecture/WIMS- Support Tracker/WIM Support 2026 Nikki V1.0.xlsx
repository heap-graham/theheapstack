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r Details" sheetId="1" r:id="rId5"/>
    <sheet state="visible" name="Target-lb" sheetId="2" r:id="rId6"/>
    <sheet state="visible" name="Target-st" sheetId="3" r:id="rId7"/>
    <sheet state="visible" name="Actuals" sheetId="4" r:id="rId8"/>
    <sheet state="visible" name="January" sheetId="5" r:id="rId9"/>
    <sheet state="visible" name="February" sheetId="6" r:id="rId10"/>
    <sheet state="visible" name="March" sheetId="7" r:id="rId11"/>
    <sheet state="visible" name="April" sheetId="8" r:id="rId12"/>
    <sheet state="visible" name="May" sheetId="9" r:id="rId13"/>
    <sheet state="visible" name="June" sheetId="10" r:id="rId14"/>
    <sheet state="visible" name="July" sheetId="11" r:id="rId15"/>
    <sheet state="visible" name="August" sheetId="12" r:id="rId16"/>
    <sheet state="visible" name="September" sheetId="13" r:id="rId17"/>
    <sheet state="visible" name="October" sheetId="14" r:id="rId18"/>
    <sheet state="visible" name="November" sheetId="15" r:id="rId19"/>
    <sheet state="visible" name="December" sheetId="16" r:id="rId20"/>
  </sheets>
  <definedNames/>
  <calcPr/>
</workbook>
</file>

<file path=xl/sharedStrings.xml><?xml version="1.0" encoding="utf-8"?>
<sst xmlns="http://schemas.openxmlformats.org/spreadsheetml/2006/main" count="282" uniqueCount="56">
  <si>
    <t xml:space="preserve">Stones </t>
  </si>
  <si>
    <t>Pounds</t>
  </si>
  <si>
    <t>Jan</t>
  </si>
  <si>
    <t>Current Weight</t>
  </si>
  <si>
    <t>Feb</t>
  </si>
  <si>
    <t>Actuals</t>
  </si>
  <si>
    <t>Mar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</si>
  <si>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</si>
  <si>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</si>
  <si>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</si>
  <si>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</si>
  <si>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</si>
  <si>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</si>
  <si>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</si>
  <si>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</si>
  <si>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</si>
  <si>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Loss (lb)</t>
  </si>
  <si>
    <t>Number Months</t>
  </si>
  <si>
    <t>Per Month</t>
  </si>
  <si>
    <t>Per week</t>
  </si>
  <si>
    <t>Month</t>
  </si>
  <si>
    <t>Per Week</t>
  </si>
  <si>
    <t>Week #</t>
  </si>
  <si>
    <t xml:space="preserve">Start Date </t>
  </si>
  <si>
    <t>Monday</t>
  </si>
  <si>
    <t xml:space="preserve">Tuesday </t>
  </si>
  <si>
    <t>Pounds (lbs)</t>
  </si>
  <si>
    <t>Wednesday</t>
  </si>
  <si>
    <t>Loss (st)</t>
  </si>
  <si>
    <t xml:space="preserve">Thursday </t>
  </si>
  <si>
    <t>Friday</t>
  </si>
  <si>
    <t xml:space="preserve">Saturday </t>
  </si>
  <si>
    <t>Per Month (st)</t>
  </si>
  <si>
    <t>Sunday</t>
  </si>
  <si>
    <t>Per week (st)</t>
  </si>
  <si>
    <t>Min</t>
  </si>
  <si>
    <t>Per Week (st)</t>
  </si>
  <si>
    <t>Max</t>
  </si>
  <si>
    <t>Stones</t>
  </si>
  <si>
    <t xml:space="preserve"> </t>
  </si>
  <si>
    <t>Week no</t>
  </si>
  <si>
    <t xml:space="preserve">Per Week </t>
  </si>
  <si>
    <t>M</t>
  </si>
  <si>
    <t>T</t>
  </si>
  <si>
    <t>W</t>
  </si>
  <si>
    <t>F</t>
  </si>
  <si>
    <t>S</t>
  </si>
  <si>
    <t>Weekly Min (st)</t>
  </si>
  <si>
    <t>Weekly Max (st)</t>
  </si>
  <si>
    <t>Average (st)</t>
  </si>
  <si>
    <t>Weekly Range (st)</t>
  </si>
  <si>
    <t>Weekly Change (st)</t>
  </si>
  <si>
    <t>Weekly Change (lb)</t>
  </si>
  <si>
    <t>Weekly Target (st)</t>
  </si>
  <si>
    <t>Net Achievement (st)</t>
  </si>
  <si>
    <t>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</si>
</sst>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1155CC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2" fontId="3" numFmtId="4" xfId="0" applyFill="1" applyFont="1" applyNumberFormat="1"/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CC0000"/>
          <bgColor rgb="FFCC0000"/>
        </patternFill>
      </fill>
      <border/>
    </dxf>
    <dxf>
      <font>
        <color theme="0"/>
      </font>
      <fill>
        <patternFill patternType="solid">
          <fgColor rgb="FF1C4587"/>
          <bgColor rgb="FF1C4587"/>
        </patternFill>
      </fill>
      <border/>
    </dxf>
    <dxf>
      <font>
        <color theme="0"/>
      </font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</cols>
  <sheetData>
    <row r="2">
      <c r="D2" s="1"/>
      <c r="E2" s="1"/>
    </row>
    <row r="3">
      <c r="D3" s="1" t="s">
        <v>0</v>
      </c>
      <c r="E3" s="1" t="s">
        <v>1</v>
      </c>
    </row>
    <row r="4">
      <c r="C4" s="1"/>
      <c r="D4" s="1"/>
      <c r="E4" s="1"/>
    </row>
    <row r="5">
      <c r="C5" s="2" t="s">
        <v>3</v>
      </c>
      <c r="D5" s="1">
        <v>19.0</v>
      </c>
      <c r="E5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6.0"/>
    <col customWidth="1" min="16" max="16" width="6.75"/>
    <col customWidth="1" min="17" max="17" width="10.13"/>
    <col customWidth="1" min="18" max="18" width="8.75"/>
    <col customWidth="1" min="19" max="19" width="8.5"/>
    <col customWidth="1" min="20" max="20" width="3.25"/>
  </cols>
  <sheetData>
    <row r="1">
      <c r="B1" s="1">
        <v>2026.0</v>
      </c>
      <c r="C1" s="2" t="s">
        <v>2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1" t="s">
        <v>16</v>
      </c>
      <c r="P1" s="1" t="s">
        <v>17</v>
      </c>
      <c r="Q1" s="3" t="s">
        <v>18</v>
      </c>
      <c r="R1" s="3" t="s">
        <v>19</v>
      </c>
      <c r="S1" s="1" t="s">
        <v>21</v>
      </c>
      <c r="AE1" s="3"/>
      <c r="AF1" s="3"/>
    </row>
    <row r="2">
      <c r="A2" s="1" t="s">
        <v>26</v>
      </c>
      <c r="B2" s="1">
        <f>'Your Details'!D5*14+'Your Details'!E5</f>
        <v>266</v>
      </c>
      <c r="C2" s="1">
        <f t="shared" ref="C2:N2" si="1">B2-7</f>
        <v>259</v>
      </c>
      <c r="D2" s="1">
        <f t="shared" si="1"/>
        <v>252</v>
      </c>
      <c r="E2" s="1">
        <f t="shared" si="1"/>
        <v>245</v>
      </c>
      <c r="F2" s="1">
        <f t="shared" si="1"/>
        <v>238</v>
      </c>
      <c r="G2" s="1">
        <f t="shared" si="1"/>
        <v>231</v>
      </c>
      <c r="H2" s="1">
        <f t="shared" si="1"/>
        <v>224</v>
      </c>
      <c r="I2" s="1">
        <f t="shared" si="1"/>
        <v>217</v>
      </c>
      <c r="J2" s="1">
        <f t="shared" si="1"/>
        <v>210</v>
      </c>
      <c r="K2" s="1">
        <f t="shared" si="1"/>
        <v>203</v>
      </c>
      <c r="L2" s="1">
        <f t="shared" si="1"/>
        <v>196</v>
      </c>
      <c r="M2" s="1">
        <f t="shared" si="1"/>
        <v>189</v>
      </c>
      <c r="N2" s="1">
        <f t="shared" si="1"/>
        <v>182</v>
      </c>
      <c r="O2" s="7">
        <f>B2-N2</f>
        <v>84</v>
      </c>
      <c r="P2" s="1">
        <v>12.0</v>
      </c>
      <c r="Q2" s="6">
        <f>O2/P2</f>
        <v>7</v>
      </c>
      <c r="R2" s="6">
        <f>Q2/4</f>
        <v>1.75</v>
      </c>
      <c r="S2" s="1">
        <f>7/4</f>
        <v>1.75</v>
      </c>
      <c r="AE2" s="6"/>
      <c r="AF2" s="6"/>
    </row>
    <row r="4">
      <c r="A4" s="4">
        <v>46027.0</v>
      </c>
      <c r="B4" s="7">
        <f t="shared" ref="B4:B7" si="2">ISOWEEKNUM(A4)-1</f>
        <v>1</v>
      </c>
      <c r="C4" s="6">
        <f>(B2-$S$2)</f>
        <v>264.25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U4" s="4"/>
      <c r="W4" s="6"/>
      <c r="X4" s="6"/>
      <c r="Y4" s="6"/>
      <c r="Z4" s="6"/>
      <c r="AA4" s="6"/>
      <c r="AB4" s="6"/>
    </row>
    <row r="5">
      <c r="A5" s="9">
        <f t="shared" ref="A5:A7" si="3">A4+7</f>
        <v>46034</v>
      </c>
      <c r="B5" s="7">
        <f t="shared" si="2"/>
        <v>2</v>
      </c>
      <c r="C5" s="6">
        <f t="shared" ref="C5:C7" si="4">C4-$S$2</f>
        <v>262.5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W5" s="6"/>
      <c r="X5" s="6"/>
      <c r="Y5" s="6"/>
      <c r="Z5" s="6"/>
      <c r="AA5" s="6"/>
      <c r="AB5" s="6"/>
    </row>
    <row r="6">
      <c r="A6" s="9">
        <f t="shared" si="3"/>
        <v>46041</v>
      </c>
      <c r="B6" s="7">
        <f t="shared" si="2"/>
        <v>3</v>
      </c>
      <c r="C6" s="6">
        <f t="shared" si="4"/>
        <v>260.75</v>
      </c>
      <c r="D6" s="6"/>
      <c r="E6" s="6"/>
      <c r="F6" s="11"/>
      <c r="G6" s="6"/>
      <c r="H6" s="6"/>
      <c r="I6" s="6"/>
      <c r="J6" s="6"/>
      <c r="K6" s="6"/>
      <c r="L6" s="6"/>
      <c r="M6" s="6"/>
      <c r="N6" s="6"/>
      <c r="W6" s="6"/>
      <c r="X6" s="6"/>
      <c r="Y6" s="11"/>
      <c r="Z6" s="6"/>
      <c r="AA6" s="6"/>
      <c r="AB6" s="6"/>
    </row>
    <row r="7">
      <c r="A7" s="9">
        <f t="shared" si="3"/>
        <v>46048</v>
      </c>
      <c r="B7" s="7">
        <f t="shared" si="2"/>
        <v>4</v>
      </c>
      <c r="C7" s="6">
        <f t="shared" si="4"/>
        <v>259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W7" s="6"/>
      <c r="X7" s="6"/>
      <c r="Y7" s="6"/>
      <c r="Z7" s="6"/>
      <c r="AA7" s="6"/>
      <c r="AB7" s="6"/>
    </row>
    <row r="8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W8" s="6"/>
      <c r="X8" s="6"/>
      <c r="Y8" s="6"/>
      <c r="Z8" s="6"/>
      <c r="AA8" s="6"/>
      <c r="AB8" s="6"/>
    </row>
    <row r="9">
      <c r="A9" s="9">
        <f>A7+7</f>
        <v>46055</v>
      </c>
      <c r="B9" s="7">
        <f t="shared" ref="B9:B12" si="5">ISOWEEKNUM(A9)-1</f>
        <v>5</v>
      </c>
      <c r="C9" s="6"/>
      <c r="D9" s="6">
        <f>C7-$S$2</f>
        <v>257.25</v>
      </c>
      <c r="E9" s="6"/>
      <c r="F9" s="6"/>
      <c r="G9" s="6"/>
      <c r="H9" s="6"/>
      <c r="I9" s="6"/>
      <c r="J9" s="6"/>
      <c r="K9" s="6"/>
      <c r="L9" s="6"/>
      <c r="M9" s="6"/>
      <c r="N9" s="6"/>
      <c r="W9" s="6"/>
      <c r="X9" s="6"/>
      <c r="Y9" s="6"/>
      <c r="Z9" s="6"/>
      <c r="AA9" s="6"/>
      <c r="AB9" s="6"/>
    </row>
    <row r="10">
      <c r="A10" s="9">
        <f t="shared" ref="A10:A12" si="6">A9+7</f>
        <v>46062</v>
      </c>
      <c r="B10" s="7">
        <f t="shared" si="5"/>
        <v>6</v>
      </c>
      <c r="C10" s="6"/>
      <c r="D10" s="6">
        <f t="shared" ref="D10:D12" si="7">D9-$S$2</f>
        <v>255.5</v>
      </c>
      <c r="E10" s="6"/>
      <c r="F10" s="6"/>
      <c r="G10" s="6"/>
      <c r="H10" s="6"/>
      <c r="I10" s="6"/>
      <c r="J10" s="6"/>
      <c r="K10" s="6"/>
      <c r="L10" s="6"/>
      <c r="M10" s="6"/>
      <c r="N10" s="6"/>
      <c r="W10" s="6"/>
      <c r="X10" s="6"/>
      <c r="Y10" s="6"/>
      <c r="Z10" s="6"/>
      <c r="AA10" s="6"/>
      <c r="AB10" s="6"/>
    </row>
    <row r="11">
      <c r="A11" s="9">
        <f t="shared" si="6"/>
        <v>46069</v>
      </c>
      <c r="B11" s="7">
        <f t="shared" si="5"/>
        <v>7</v>
      </c>
      <c r="C11" s="6"/>
      <c r="D11" s="6">
        <f t="shared" si="7"/>
        <v>253.75</v>
      </c>
      <c r="E11" s="6"/>
      <c r="F11" s="6"/>
      <c r="G11" s="6"/>
      <c r="H11" s="6"/>
      <c r="I11" s="6"/>
      <c r="J11" s="6"/>
      <c r="K11" s="6"/>
      <c r="L11" s="6"/>
      <c r="M11" s="6"/>
      <c r="N11" s="6"/>
      <c r="W11" s="6"/>
      <c r="X11" s="6"/>
      <c r="Y11" s="6"/>
      <c r="Z11" s="6"/>
      <c r="AA11" s="6"/>
      <c r="AB11" s="6"/>
    </row>
    <row r="12">
      <c r="A12" s="9">
        <f t="shared" si="6"/>
        <v>46076</v>
      </c>
      <c r="B12" s="7">
        <f t="shared" si="5"/>
        <v>8</v>
      </c>
      <c r="C12" s="6"/>
      <c r="D12" s="6">
        <f t="shared" si="7"/>
        <v>252</v>
      </c>
      <c r="E12" s="6"/>
      <c r="F12" s="6"/>
      <c r="G12" s="6"/>
      <c r="H12" s="6"/>
      <c r="I12" s="6"/>
      <c r="J12" s="6"/>
      <c r="K12" s="6"/>
      <c r="L12" s="6"/>
      <c r="M12" s="6"/>
      <c r="N12" s="6"/>
      <c r="W12" s="6"/>
      <c r="X12" s="6"/>
      <c r="Y12" s="6"/>
      <c r="Z12" s="6"/>
      <c r="AA12" s="6"/>
      <c r="AB12" s="6"/>
    </row>
    <row r="13">
      <c r="C13" s="6"/>
      <c r="F13" s="6"/>
      <c r="G13" s="6"/>
      <c r="H13" s="6"/>
      <c r="I13" s="6"/>
      <c r="J13" s="6"/>
      <c r="K13" s="6"/>
      <c r="L13" s="6"/>
      <c r="M13" s="6"/>
      <c r="N13" s="6"/>
      <c r="W13" s="6"/>
      <c r="X13" s="6"/>
      <c r="Y13" s="6"/>
      <c r="Z13" s="6"/>
      <c r="AA13" s="6"/>
      <c r="AB13" s="6"/>
    </row>
    <row r="14">
      <c r="A14" s="9">
        <f>A12+7</f>
        <v>46083</v>
      </c>
      <c r="B14" s="7">
        <f t="shared" ref="B14:B17" si="8">ISOWEEKNUM(A14)-1</f>
        <v>9</v>
      </c>
      <c r="C14" s="6"/>
      <c r="D14" s="6"/>
      <c r="E14" s="6">
        <f>D12-$S$2</f>
        <v>250.25</v>
      </c>
      <c r="F14" s="6"/>
      <c r="G14" s="6"/>
      <c r="H14" s="6"/>
      <c r="I14" s="6"/>
      <c r="J14" s="6"/>
      <c r="K14" s="6"/>
      <c r="L14" s="6"/>
      <c r="M14" s="6"/>
      <c r="N14" s="6"/>
      <c r="W14" s="6"/>
      <c r="X14" s="6"/>
      <c r="Y14" s="6"/>
      <c r="Z14" s="6"/>
      <c r="AA14" s="6"/>
      <c r="AB14" s="6"/>
    </row>
    <row r="15">
      <c r="A15" s="9">
        <f t="shared" ref="A15:A17" si="9">A14+7</f>
        <v>46090</v>
      </c>
      <c r="B15" s="7">
        <f t="shared" si="8"/>
        <v>10</v>
      </c>
      <c r="C15" s="6"/>
      <c r="D15" s="6"/>
      <c r="E15" s="6">
        <f t="shared" ref="E15:E17" si="10">E14-$S$2</f>
        <v>248.5</v>
      </c>
      <c r="F15" s="6"/>
      <c r="G15" s="6"/>
      <c r="H15" s="6"/>
      <c r="I15" s="6"/>
      <c r="J15" s="6"/>
      <c r="K15" s="6"/>
      <c r="L15" s="6"/>
      <c r="M15" s="6"/>
      <c r="N15" s="6"/>
      <c r="W15" s="6"/>
      <c r="X15" s="6"/>
      <c r="Y15" s="6"/>
      <c r="Z15" s="6"/>
      <c r="AA15" s="6"/>
      <c r="AB15" s="6"/>
    </row>
    <row r="16">
      <c r="A16" s="9">
        <f t="shared" si="9"/>
        <v>46097</v>
      </c>
      <c r="B16" s="7">
        <f t="shared" si="8"/>
        <v>11</v>
      </c>
      <c r="C16" s="6"/>
      <c r="D16" s="6"/>
      <c r="E16" s="6">
        <f t="shared" si="10"/>
        <v>246.75</v>
      </c>
      <c r="F16" s="6"/>
      <c r="G16" s="6"/>
      <c r="H16" s="6"/>
      <c r="I16" s="6"/>
      <c r="J16" s="6"/>
      <c r="K16" s="6"/>
      <c r="L16" s="6"/>
      <c r="M16" s="6"/>
      <c r="N16" s="6"/>
      <c r="W16" s="6"/>
      <c r="X16" s="6"/>
      <c r="Y16" s="6"/>
      <c r="Z16" s="6"/>
      <c r="AA16" s="6"/>
      <c r="AB16" s="6"/>
    </row>
    <row r="17">
      <c r="A17" s="9">
        <f t="shared" si="9"/>
        <v>46104</v>
      </c>
      <c r="B17" s="7">
        <f t="shared" si="8"/>
        <v>12</v>
      </c>
      <c r="C17" s="6"/>
      <c r="D17" s="6"/>
      <c r="E17" s="6">
        <f t="shared" si="10"/>
        <v>245</v>
      </c>
      <c r="F17" s="6"/>
      <c r="G17" s="6"/>
      <c r="H17" s="6"/>
      <c r="I17" s="6"/>
      <c r="J17" s="6"/>
      <c r="K17" s="6"/>
      <c r="L17" s="6"/>
      <c r="M17" s="6"/>
      <c r="N17" s="6"/>
      <c r="W17" s="6"/>
      <c r="X17" s="6"/>
      <c r="Y17" s="6"/>
      <c r="Z17" s="6"/>
      <c r="AA17" s="6"/>
      <c r="AB17" s="6"/>
    </row>
    <row r="18">
      <c r="G18" s="6"/>
      <c r="H18" s="6"/>
      <c r="I18" s="6"/>
      <c r="J18" s="6"/>
      <c r="K18" s="6"/>
      <c r="L18" s="6"/>
      <c r="M18" s="6"/>
      <c r="N18" s="6"/>
      <c r="W18" s="6"/>
      <c r="X18" s="5"/>
      <c r="Y18" s="6"/>
      <c r="Z18" s="6"/>
      <c r="AA18" s="6"/>
      <c r="AB18" s="6"/>
    </row>
    <row r="19">
      <c r="A19" s="9">
        <f>A17+7</f>
        <v>46111</v>
      </c>
      <c r="B19" s="7">
        <f t="shared" ref="B19:B23" si="11">ISOWEEKNUM(A19)-1</f>
        <v>13</v>
      </c>
      <c r="C19" s="6"/>
      <c r="D19" s="6"/>
      <c r="F19" s="5">
        <f>E17--$S$2</f>
        <v>246.75</v>
      </c>
      <c r="G19" s="6"/>
      <c r="H19" s="6"/>
      <c r="I19" s="6"/>
      <c r="J19" s="6"/>
      <c r="K19" s="6"/>
      <c r="L19" s="6"/>
      <c r="M19" s="6"/>
      <c r="N19" s="6"/>
      <c r="W19" s="6"/>
      <c r="X19" s="6"/>
      <c r="Y19" s="6"/>
      <c r="Z19" s="6"/>
      <c r="AA19" s="6"/>
      <c r="AB19" s="6"/>
    </row>
    <row r="20">
      <c r="A20" s="9">
        <f t="shared" ref="A20:A23" si="12">A19+7</f>
        <v>46118</v>
      </c>
      <c r="B20" s="7">
        <f t="shared" si="11"/>
        <v>14</v>
      </c>
      <c r="C20" s="6"/>
      <c r="D20" s="6"/>
      <c r="E20" s="6"/>
      <c r="F20" s="6">
        <f t="shared" ref="F20:F23" si="13">F19-$S$2</f>
        <v>245</v>
      </c>
      <c r="G20" s="6"/>
      <c r="H20" s="6"/>
      <c r="I20" s="6"/>
      <c r="J20" s="6"/>
      <c r="K20" s="6"/>
      <c r="L20" s="6"/>
      <c r="M20" s="6"/>
      <c r="N20" s="6"/>
      <c r="W20" s="6"/>
      <c r="X20" s="6"/>
      <c r="Y20" s="6"/>
      <c r="Z20" s="6"/>
      <c r="AA20" s="6"/>
      <c r="AB20" s="6"/>
    </row>
    <row r="21">
      <c r="A21" s="9">
        <f t="shared" si="12"/>
        <v>46125</v>
      </c>
      <c r="B21" s="7">
        <f t="shared" si="11"/>
        <v>15</v>
      </c>
      <c r="C21" s="6"/>
      <c r="D21" s="6"/>
      <c r="E21" s="6"/>
      <c r="F21" s="6">
        <f t="shared" si="13"/>
        <v>243.25</v>
      </c>
      <c r="G21" s="6"/>
      <c r="H21" s="6"/>
      <c r="I21" s="6"/>
      <c r="J21" s="6"/>
      <c r="K21" s="6"/>
      <c r="L21" s="6"/>
      <c r="M21" s="6"/>
      <c r="N21" s="6"/>
      <c r="W21" s="6"/>
      <c r="X21" s="6"/>
      <c r="Y21" s="6"/>
      <c r="Z21" s="6"/>
      <c r="AA21" s="6"/>
      <c r="AB21" s="6"/>
    </row>
    <row r="22">
      <c r="A22" s="9">
        <f t="shared" si="12"/>
        <v>46132</v>
      </c>
      <c r="B22" s="7">
        <f t="shared" si="11"/>
        <v>16</v>
      </c>
      <c r="C22" s="6"/>
      <c r="D22" s="6"/>
      <c r="E22" s="6"/>
      <c r="F22" s="6">
        <f t="shared" si="13"/>
        <v>241.5</v>
      </c>
      <c r="G22" s="6"/>
      <c r="H22" s="6"/>
      <c r="I22" s="6"/>
      <c r="J22" s="6"/>
      <c r="K22" s="6"/>
      <c r="L22" s="6"/>
      <c r="M22" s="6"/>
      <c r="N22" s="6"/>
      <c r="W22" s="6"/>
      <c r="X22" s="6"/>
      <c r="Y22" s="6"/>
      <c r="Z22" s="6"/>
      <c r="AA22" s="6"/>
      <c r="AB22" s="6"/>
    </row>
    <row r="23">
      <c r="A23" s="9">
        <f t="shared" si="12"/>
        <v>46139</v>
      </c>
      <c r="B23" s="7">
        <f t="shared" si="11"/>
        <v>17</v>
      </c>
      <c r="C23" s="6"/>
      <c r="D23" s="6"/>
      <c r="E23" s="6"/>
      <c r="F23" s="6">
        <f t="shared" si="13"/>
        <v>239.75</v>
      </c>
      <c r="G23" s="6"/>
      <c r="H23" s="6"/>
      <c r="I23" s="6"/>
      <c r="J23" s="6"/>
      <c r="K23" s="6"/>
      <c r="L23" s="6"/>
      <c r="M23" s="6"/>
      <c r="N23" s="6"/>
      <c r="W23" s="6"/>
      <c r="X23" s="6"/>
      <c r="Y23" s="6"/>
      <c r="Z23" s="6"/>
      <c r="AA23" s="6"/>
      <c r="AB23" s="6"/>
    </row>
    <row r="24">
      <c r="C24" s="6"/>
      <c r="D24" s="6"/>
      <c r="E24" s="6"/>
      <c r="F24" s="6"/>
      <c r="H24" s="6"/>
      <c r="I24" s="6"/>
      <c r="J24" s="6"/>
      <c r="K24" s="6"/>
      <c r="L24" s="6"/>
      <c r="M24" s="6"/>
      <c r="N24" s="6"/>
      <c r="W24" s="6"/>
      <c r="X24" s="6"/>
      <c r="Y24" s="6"/>
      <c r="AA24" s="6"/>
      <c r="AB24" s="6"/>
    </row>
    <row r="25">
      <c r="A25" s="9">
        <f>A23+7</f>
        <v>46146</v>
      </c>
      <c r="B25" s="7">
        <f t="shared" ref="B25:B28" si="14">ISOWEEKNUM(A25)-1</f>
        <v>18</v>
      </c>
      <c r="C25" s="6"/>
      <c r="D25" s="6"/>
      <c r="E25" s="6"/>
      <c r="F25" s="6"/>
      <c r="G25" s="6">
        <f>F23-$S$2</f>
        <v>238</v>
      </c>
      <c r="H25" s="6"/>
      <c r="I25" s="6"/>
      <c r="J25" s="6"/>
      <c r="K25" s="6"/>
      <c r="L25" s="6"/>
      <c r="M25" s="6"/>
      <c r="N25" s="6"/>
      <c r="W25" s="6"/>
      <c r="X25" s="6"/>
      <c r="Y25" s="6"/>
      <c r="AA25" s="6"/>
      <c r="AB25" s="6"/>
    </row>
    <row r="26">
      <c r="A26" s="9">
        <f t="shared" ref="A26:A28" si="15">A25+7</f>
        <v>46153</v>
      </c>
      <c r="B26" s="7">
        <f t="shared" si="14"/>
        <v>19</v>
      </c>
      <c r="C26" s="6"/>
      <c r="D26" s="6"/>
      <c r="E26" s="6"/>
      <c r="F26" s="6"/>
      <c r="G26" s="6">
        <f t="shared" ref="G26:G28" si="16">G25-$S$2</f>
        <v>236.25</v>
      </c>
      <c r="H26" s="6"/>
      <c r="I26" s="6"/>
      <c r="J26" s="6"/>
      <c r="K26" s="6"/>
      <c r="L26" s="6"/>
      <c r="M26" s="6"/>
      <c r="N26" s="6"/>
      <c r="W26" s="6"/>
      <c r="X26" s="6"/>
      <c r="Y26" s="6"/>
      <c r="Z26" s="6"/>
      <c r="AA26" s="6"/>
      <c r="AB26" s="6"/>
    </row>
    <row r="27">
      <c r="A27" s="9">
        <f t="shared" si="15"/>
        <v>46160</v>
      </c>
      <c r="B27" s="7">
        <f t="shared" si="14"/>
        <v>20</v>
      </c>
      <c r="C27" s="6"/>
      <c r="D27" s="6"/>
      <c r="E27" s="6"/>
      <c r="F27" s="6"/>
      <c r="G27" s="6">
        <f t="shared" si="16"/>
        <v>234.5</v>
      </c>
      <c r="H27" s="6"/>
      <c r="I27" s="6"/>
      <c r="J27" s="6"/>
      <c r="K27" s="6"/>
      <c r="L27" s="6"/>
      <c r="M27" s="6"/>
      <c r="N27" s="6"/>
      <c r="W27" s="6"/>
      <c r="X27" s="6"/>
      <c r="Y27" s="6"/>
      <c r="Z27" s="6"/>
      <c r="AA27" s="6"/>
      <c r="AB27" s="6"/>
    </row>
    <row r="28">
      <c r="A28" s="9">
        <f t="shared" si="15"/>
        <v>46167</v>
      </c>
      <c r="B28" s="7">
        <f t="shared" si="14"/>
        <v>21</v>
      </c>
      <c r="C28" s="6"/>
      <c r="D28" s="6"/>
      <c r="E28" s="6"/>
      <c r="F28" s="6"/>
      <c r="G28" s="6">
        <f t="shared" si="16"/>
        <v>232.75</v>
      </c>
      <c r="H28" s="6"/>
      <c r="I28" s="6"/>
      <c r="J28" s="6"/>
      <c r="K28" s="6"/>
      <c r="L28" s="6"/>
      <c r="M28" s="6"/>
      <c r="N28" s="6"/>
      <c r="W28" s="6"/>
      <c r="X28" s="6"/>
      <c r="Y28" s="6"/>
      <c r="Z28" s="6"/>
      <c r="AA28" s="6"/>
      <c r="AB28" s="6"/>
    </row>
    <row r="29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W29" s="6"/>
      <c r="X29" s="6"/>
      <c r="Y29" s="6"/>
      <c r="Z29" s="6"/>
      <c r="AA29" s="6"/>
      <c r="AB29" s="6"/>
    </row>
    <row r="30">
      <c r="A30" s="9">
        <f>A28+7</f>
        <v>46174</v>
      </c>
      <c r="B30" s="7">
        <f t="shared" ref="B30:B34" si="17">ISOWEEKNUM(A30)-1</f>
        <v>22</v>
      </c>
      <c r="C30" s="6"/>
      <c r="D30" s="6"/>
      <c r="E30" s="6"/>
      <c r="F30" s="6"/>
      <c r="G30" s="6"/>
      <c r="H30" s="5">
        <f>G28-$S$2</f>
        <v>231</v>
      </c>
      <c r="I30" s="5"/>
      <c r="J30" s="5"/>
      <c r="K30" s="5"/>
      <c r="L30" s="5"/>
      <c r="M30" s="5"/>
      <c r="N30" s="5"/>
      <c r="W30" s="6"/>
      <c r="X30" s="6"/>
      <c r="Y30" s="6"/>
      <c r="Z30" s="6"/>
      <c r="AA30" s="6"/>
      <c r="AB30" s="6"/>
    </row>
    <row r="31">
      <c r="A31" s="9">
        <f t="shared" ref="A31:A34" si="18">A30+7</f>
        <v>46181</v>
      </c>
      <c r="B31" s="7">
        <f t="shared" si="17"/>
        <v>23</v>
      </c>
      <c r="C31" s="6"/>
      <c r="D31" s="6"/>
      <c r="E31" s="6"/>
      <c r="F31" s="6"/>
      <c r="G31" s="6"/>
      <c r="H31" s="6">
        <f t="shared" ref="H31:H34" si="19">H30-$S$2</f>
        <v>229.25</v>
      </c>
      <c r="I31" s="6"/>
      <c r="J31" s="6"/>
      <c r="K31" s="6"/>
      <c r="L31" s="6"/>
      <c r="M31" s="6"/>
      <c r="N31" s="6"/>
      <c r="W31" s="6"/>
      <c r="X31" s="6"/>
      <c r="Y31" s="6"/>
      <c r="Z31" s="6"/>
      <c r="AA31" s="6"/>
      <c r="AB31" s="6"/>
    </row>
    <row r="32">
      <c r="A32" s="9">
        <f t="shared" si="18"/>
        <v>46188</v>
      </c>
      <c r="B32" s="7">
        <f t="shared" si="17"/>
        <v>24</v>
      </c>
      <c r="C32" s="6"/>
      <c r="D32" s="6"/>
      <c r="E32" s="6"/>
      <c r="F32" s="6"/>
      <c r="G32" s="6"/>
      <c r="H32" s="6">
        <f t="shared" si="19"/>
        <v>227.5</v>
      </c>
      <c r="I32" s="6"/>
      <c r="J32" s="6"/>
      <c r="K32" s="6"/>
      <c r="L32" s="6"/>
      <c r="M32" s="6"/>
      <c r="N32" s="6"/>
      <c r="W32" s="6"/>
      <c r="X32" s="6"/>
      <c r="Y32" s="6"/>
      <c r="Z32" s="6"/>
      <c r="AA32" s="6"/>
      <c r="AB32" s="6"/>
    </row>
    <row r="33">
      <c r="A33" s="9">
        <f t="shared" si="18"/>
        <v>46195</v>
      </c>
      <c r="B33" s="7">
        <f t="shared" si="17"/>
        <v>25</v>
      </c>
      <c r="C33" s="6"/>
      <c r="D33" s="6"/>
      <c r="E33" s="6"/>
      <c r="F33" s="6"/>
      <c r="G33" s="6"/>
      <c r="H33" s="6">
        <f t="shared" si="19"/>
        <v>225.75</v>
      </c>
      <c r="I33" s="6"/>
      <c r="J33" s="6"/>
      <c r="K33" s="6"/>
      <c r="L33" s="6"/>
      <c r="M33" s="6"/>
      <c r="N33" s="6"/>
      <c r="W33" s="6"/>
      <c r="X33" s="6"/>
      <c r="Y33" s="6"/>
      <c r="Z33" s="6"/>
      <c r="AA33" s="6"/>
      <c r="AB33" s="6"/>
    </row>
    <row r="34">
      <c r="A34" s="9">
        <f t="shared" si="18"/>
        <v>46202</v>
      </c>
      <c r="B34" s="7">
        <f t="shared" si="17"/>
        <v>26</v>
      </c>
      <c r="C34" s="6"/>
      <c r="D34" s="6"/>
      <c r="E34" s="6"/>
      <c r="F34" s="6"/>
      <c r="G34" s="6"/>
      <c r="H34" s="6">
        <f t="shared" si="19"/>
        <v>224</v>
      </c>
      <c r="I34" s="6"/>
      <c r="J34" s="6"/>
      <c r="K34" s="6"/>
      <c r="L34" s="6"/>
      <c r="M34" s="6"/>
      <c r="N34" s="6"/>
      <c r="W34" s="6"/>
      <c r="X34" s="6"/>
      <c r="Y34" s="6"/>
      <c r="Z34" s="6"/>
      <c r="AA34" s="6"/>
      <c r="AB34" s="6"/>
    </row>
    <row r="36">
      <c r="A36" s="9">
        <f>A34+7</f>
        <v>46209</v>
      </c>
      <c r="B36" s="7">
        <f t="shared" ref="B36:B39" si="20">ISOWEEKNUM(A36)-1</f>
        <v>27</v>
      </c>
      <c r="I36" s="5">
        <f>H34-$S$2</f>
        <v>222.25</v>
      </c>
      <c r="AB36" s="6"/>
    </row>
    <row r="37">
      <c r="A37" s="9">
        <f t="shared" ref="A37:A39" si="21">A36+7</f>
        <v>46216</v>
      </c>
      <c r="B37" s="7">
        <f t="shared" si="20"/>
        <v>28</v>
      </c>
      <c r="I37" s="6">
        <f t="shared" ref="I37:I39" si="22">I36-$S$2</f>
        <v>220.5</v>
      </c>
      <c r="AB37" s="6"/>
    </row>
    <row r="38">
      <c r="A38" s="9">
        <f t="shared" si="21"/>
        <v>46223</v>
      </c>
      <c r="B38" s="7">
        <f t="shared" si="20"/>
        <v>29</v>
      </c>
      <c r="I38" s="6">
        <f t="shared" si="22"/>
        <v>218.75</v>
      </c>
      <c r="AB38" s="6"/>
    </row>
    <row r="39">
      <c r="A39" s="9">
        <f t="shared" si="21"/>
        <v>46230</v>
      </c>
      <c r="B39" s="7">
        <f t="shared" si="20"/>
        <v>30</v>
      </c>
      <c r="I39" s="6">
        <f t="shared" si="22"/>
        <v>217</v>
      </c>
      <c r="AB39" s="6"/>
    </row>
    <row r="40">
      <c r="A40" s="9"/>
      <c r="AB40" s="6"/>
    </row>
    <row r="41">
      <c r="A41" s="9">
        <f>A39+7</f>
        <v>46237</v>
      </c>
      <c r="B41" s="7">
        <f t="shared" ref="B41:B44" si="23">ISOWEEKNUM(A41)-1</f>
        <v>31</v>
      </c>
      <c r="J41" s="5">
        <f>I39-$S$2</f>
        <v>215.25</v>
      </c>
    </row>
    <row r="42">
      <c r="A42" s="9">
        <f t="shared" ref="A42:A44" si="24">A41+7</f>
        <v>46244</v>
      </c>
      <c r="B42" s="7">
        <f t="shared" si="23"/>
        <v>32</v>
      </c>
      <c r="J42" s="6">
        <f t="shared" ref="J42:J44" si="25">J41-$S$2</f>
        <v>213.5</v>
      </c>
    </row>
    <row r="43">
      <c r="A43" s="9">
        <f t="shared" si="24"/>
        <v>46251</v>
      </c>
      <c r="B43" s="7">
        <f t="shared" si="23"/>
        <v>33</v>
      </c>
      <c r="J43" s="6">
        <f t="shared" si="25"/>
        <v>211.75</v>
      </c>
    </row>
    <row r="44">
      <c r="A44" s="9">
        <f t="shared" si="24"/>
        <v>46258</v>
      </c>
      <c r="B44" s="7">
        <f t="shared" si="23"/>
        <v>34</v>
      </c>
      <c r="J44" s="6">
        <f t="shared" si="25"/>
        <v>210</v>
      </c>
    </row>
    <row r="46">
      <c r="A46" s="9">
        <f>A44+7</f>
        <v>46265</v>
      </c>
      <c r="B46" s="7">
        <f t="shared" ref="B46:B49" si="26">ISOWEEKNUM(A46)-1</f>
        <v>35</v>
      </c>
      <c r="K46" s="5">
        <f>J44-$S$2</f>
        <v>208.25</v>
      </c>
    </row>
    <row r="47">
      <c r="A47" s="9">
        <f t="shared" ref="A47:A49" si="27">A46+7</f>
        <v>46272</v>
      </c>
      <c r="B47" s="7">
        <f t="shared" si="26"/>
        <v>36</v>
      </c>
      <c r="K47" s="6">
        <f t="shared" ref="K47:K49" si="28">K46-$S$2</f>
        <v>206.5</v>
      </c>
    </row>
    <row r="48">
      <c r="A48" s="9">
        <f t="shared" si="27"/>
        <v>46279</v>
      </c>
      <c r="B48" s="7">
        <f t="shared" si="26"/>
        <v>37</v>
      </c>
      <c r="K48" s="6">
        <f t="shared" si="28"/>
        <v>204.75</v>
      </c>
    </row>
    <row r="49">
      <c r="A49" s="9">
        <f t="shared" si="27"/>
        <v>46286</v>
      </c>
      <c r="B49" s="7">
        <f t="shared" si="26"/>
        <v>38</v>
      </c>
      <c r="K49" s="6">
        <f t="shared" si="28"/>
        <v>203</v>
      </c>
    </row>
    <row r="50">
      <c r="A50" s="9"/>
      <c r="K50" s="6"/>
    </row>
    <row r="51">
      <c r="A51" s="9">
        <f>A49+7</f>
        <v>46293</v>
      </c>
      <c r="B51" s="7">
        <f t="shared" ref="B51:B55" si="29">ISOWEEKNUM(A51)-1</f>
        <v>39</v>
      </c>
      <c r="L51" s="6">
        <f>K49-$S$2</f>
        <v>201.25</v>
      </c>
    </row>
    <row r="52">
      <c r="A52" s="9">
        <f t="shared" ref="A52:A55" si="30">A51+7</f>
        <v>46300</v>
      </c>
      <c r="B52" s="7">
        <f t="shared" si="29"/>
        <v>40</v>
      </c>
      <c r="L52" s="5">
        <f t="shared" ref="L52:L55" si="31">L51-$S$2</f>
        <v>199.5</v>
      </c>
    </row>
    <row r="53">
      <c r="A53" s="9">
        <f t="shared" si="30"/>
        <v>46307</v>
      </c>
      <c r="B53" s="7">
        <f t="shared" si="29"/>
        <v>41</v>
      </c>
      <c r="L53" s="6">
        <f t="shared" si="31"/>
        <v>197.75</v>
      </c>
    </row>
    <row r="54">
      <c r="A54" s="9">
        <f t="shared" si="30"/>
        <v>46314</v>
      </c>
      <c r="B54" s="7">
        <f t="shared" si="29"/>
        <v>42</v>
      </c>
      <c r="L54" s="6">
        <f t="shared" si="31"/>
        <v>196</v>
      </c>
    </row>
    <row r="55">
      <c r="A55" s="9">
        <f t="shared" si="30"/>
        <v>46321</v>
      </c>
      <c r="B55" s="7">
        <f t="shared" si="29"/>
        <v>43</v>
      </c>
      <c r="L55" s="6">
        <f t="shared" si="31"/>
        <v>194.25</v>
      </c>
    </row>
    <row r="56">
      <c r="A56" s="9"/>
      <c r="L56" s="6"/>
    </row>
    <row r="57">
      <c r="A57" s="9">
        <f>A55+7</f>
        <v>46328</v>
      </c>
      <c r="B57" s="7">
        <f t="shared" ref="B57:B61" si="32">ISOWEEKNUM(A57)-1</f>
        <v>44</v>
      </c>
      <c r="M57" s="6">
        <f>L55-$S$2</f>
        <v>192.5</v>
      </c>
    </row>
    <row r="58">
      <c r="A58" s="9">
        <f t="shared" ref="A58:A61" si="33">A57+7</f>
        <v>46335</v>
      </c>
      <c r="B58" s="7">
        <f t="shared" si="32"/>
        <v>45</v>
      </c>
      <c r="M58" s="5">
        <f t="shared" ref="M58:M61" si="34">M57-$S$2</f>
        <v>190.75</v>
      </c>
    </row>
    <row r="59">
      <c r="A59" s="9">
        <f t="shared" si="33"/>
        <v>46342</v>
      </c>
      <c r="B59" s="7">
        <f t="shared" si="32"/>
        <v>46</v>
      </c>
      <c r="M59" s="6">
        <f t="shared" si="34"/>
        <v>189</v>
      </c>
    </row>
    <row r="60">
      <c r="A60" s="9">
        <f t="shared" si="33"/>
        <v>46349</v>
      </c>
      <c r="B60" s="7">
        <f t="shared" si="32"/>
        <v>47</v>
      </c>
      <c r="M60" s="6">
        <f t="shared" si="34"/>
        <v>187.25</v>
      </c>
    </row>
    <row r="61">
      <c r="A61" s="9">
        <f t="shared" si="33"/>
        <v>46356</v>
      </c>
      <c r="B61" s="7">
        <f t="shared" si="32"/>
        <v>48</v>
      </c>
      <c r="M61" s="6">
        <f t="shared" si="34"/>
        <v>185.5</v>
      </c>
    </row>
    <row r="62">
      <c r="A62" s="9"/>
      <c r="M62" s="6"/>
    </row>
    <row r="63">
      <c r="A63" s="9">
        <f>A61+7</f>
        <v>46363</v>
      </c>
      <c r="B63" s="7">
        <f t="shared" ref="B63:B66" si="35">ISOWEEKNUM(A63)-1</f>
        <v>49</v>
      </c>
      <c r="N63" s="6">
        <f>M61-$S$2</f>
        <v>183.75</v>
      </c>
    </row>
    <row r="64">
      <c r="A64" s="9">
        <f t="shared" ref="A64:A66" si="36">A63+7</f>
        <v>46370</v>
      </c>
      <c r="B64" s="7">
        <f t="shared" si="35"/>
        <v>50</v>
      </c>
      <c r="N64" s="5">
        <f t="shared" ref="N64:N66" si="37">N63-$S$2</f>
        <v>182</v>
      </c>
    </row>
    <row r="65">
      <c r="A65" s="9">
        <f t="shared" si="36"/>
        <v>46377</v>
      </c>
      <c r="B65" s="7">
        <f t="shared" si="35"/>
        <v>51</v>
      </c>
      <c r="N65" s="6">
        <f t="shared" si="37"/>
        <v>180.25</v>
      </c>
    </row>
    <row r="66">
      <c r="A66" s="9">
        <f t="shared" si="36"/>
        <v>46384</v>
      </c>
      <c r="B66" s="7">
        <f t="shared" si="35"/>
        <v>52</v>
      </c>
      <c r="N66" s="6">
        <f t="shared" si="37"/>
        <v>178.5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9.88"/>
    <col customWidth="1" min="16" max="16" width="13.13"/>
    <col customWidth="1" min="17" max="17" width="14.75"/>
    <col customWidth="1" min="18" max="18" width="10.75"/>
    <col customWidth="1" min="19" max="19" width="11.0"/>
    <col customWidth="1" min="20" max="20" width="3.25"/>
  </cols>
  <sheetData>
    <row r="1">
      <c r="B1" s="2">
        <v>2026.0</v>
      </c>
      <c r="C1" s="2" t="s">
        <v>2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1" t="s">
        <v>28</v>
      </c>
      <c r="P1" s="1" t="s">
        <v>17</v>
      </c>
      <c r="Q1" s="3" t="s">
        <v>32</v>
      </c>
      <c r="R1" s="3" t="s">
        <v>34</v>
      </c>
      <c r="S1" s="1" t="s">
        <v>36</v>
      </c>
      <c r="AE1" s="3"/>
      <c r="AF1" s="3"/>
    </row>
    <row r="2">
      <c r="A2" s="1" t="s">
        <v>38</v>
      </c>
      <c r="B2" s="1">
        <f>('Your Details'!D5*14+'Your Details'!E5)/14</f>
        <v>19</v>
      </c>
      <c r="C2" s="5">
        <f t="shared" ref="C2:N2" si="1">B2-0.5</f>
        <v>18.5</v>
      </c>
      <c r="D2" s="5">
        <f t="shared" si="1"/>
        <v>18</v>
      </c>
      <c r="E2" s="5">
        <f t="shared" si="1"/>
        <v>17.5</v>
      </c>
      <c r="F2" s="5">
        <f t="shared" si="1"/>
        <v>17</v>
      </c>
      <c r="G2" s="5">
        <f t="shared" si="1"/>
        <v>16.5</v>
      </c>
      <c r="H2" s="5">
        <f t="shared" si="1"/>
        <v>16</v>
      </c>
      <c r="I2" s="5">
        <f t="shared" si="1"/>
        <v>15.5</v>
      </c>
      <c r="J2" s="5">
        <f t="shared" si="1"/>
        <v>15</v>
      </c>
      <c r="K2" s="5">
        <f t="shared" si="1"/>
        <v>14.5</v>
      </c>
      <c r="L2" s="5">
        <f t="shared" si="1"/>
        <v>14</v>
      </c>
      <c r="M2" s="5">
        <f t="shared" si="1"/>
        <v>13.5</v>
      </c>
      <c r="N2" s="5">
        <f t="shared" si="1"/>
        <v>13</v>
      </c>
      <c r="O2" s="6">
        <f>B2-N2</f>
        <v>6</v>
      </c>
      <c r="P2" s="1">
        <v>12.0</v>
      </c>
      <c r="Q2" s="6">
        <f>O2/P2</f>
        <v>0.5</v>
      </c>
      <c r="R2" s="6">
        <f>Q2/4</f>
        <v>0.125</v>
      </c>
      <c r="S2" s="1">
        <f>(7/4)/14</f>
        <v>0.125</v>
      </c>
      <c r="AE2" s="6"/>
      <c r="AF2" s="6"/>
    </row>
    <row r="4">
      <c r="A4" s="4">
        <v>46027.0</v>
      </c>
      <c r="B4" s="7">
        <f t="shared" ref="B4:B7" si="2">ISOWEEKNUM(A4)-1</f>
        <v>1</v>
      </c>
      <c r="C4" s="6">
        <f>(B2-$S$2)</f>
        <v>18.875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U4" s="4"/>
      <c r="W4" s="6"/>
      <c r="X4" s="6"/>
      <c r="Y4" s="6"/>
      <c r="Z4" s="6"/>
      <c r="AA4" s="6"/>
      <c r="AB4" s="6"/>
    </row>
    <row r="5">
      <c r="A5" s="9">
        <f t="shared" ref="A5:A7" si="3">A4+7</f>
        <v>46034</v>
      </c>
      <c r="B5" s="7">
        <f t="shared" si="2"/>
        <v>2</v>
      </c>
      <c r="C5" s="6">
        <f t="shared" ref="C5:C7" si="4">C4-$S$2</f>
        <v>18.75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W5" s="6"/>
      <c r="X5" s="6"/>
      <c r="Y5" s="6"/>
      <c r="Z5" s="6"/>
      <c r="AA5" s="6"/>
      <c r="AB5" s="6"/>
    </row>
    <row r="6">
      <c r="A6" s="9">
        <f t="shared" si="3"/>
        <v>46041</v>
      </c>
      <c r="B6" s="7">
        <f t="shared" si="2"/>
        <v>3</v>
      </c>
      <c r="C6" s="6">
        <f t="shared" si="4"/>
        <v>18.625</v>
      </c>
      <c r="D6" s="6"/>
      <c r="E6" s="6"/>
      <c r="F6" s="11"/>
      <c r="G6" s="6"/>
      <c r="H6" s="6"/>
      <c r="I6" s="6"/>
      <c r="J6" s="6"/>
      <c r="K6" s="6"/>
      <c r="L6" s="6"/>
      <c r="M6" s="6"/>
      <c r="N6" s="6"/>
      <c r="W6" s="6"/>
      <c r="X6" s="6"/>
      <c r="Y6" s="11"/>
      <c r="Z6" s="6"/>
      <c r="AA6" s="6"/>
      <c r="AB6" s="6"/>
    </row>
    <row r="7">
      <c r="A7" s="9">
        <f t="shared" si="3"/>
        <v>46048</v>
      </c>
      <c r="B7" s="7">
        <f t="shared" si="2"/>
        <v>4</v>
      </c>
      <c r="C7" s="6">
        <f t="shared" si="4"/>
        <v>18.5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W7" s="6"/>
      <c r="X7" s="6"/>
      <c r="Y7" s="6"/>
      <c r="Z7" s="6"/>
      <c r="AA7" s="6"/>
      <c r="AB7" s="6"/>
    </row>
    <row r="8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W8" s="6"/>
      <c r="X8" s="6"/>
      <c r="Y8" s="6"/>
      <c r="Z8" s="6"/>
      <c r="AA8" s="6"/>
      <c r="AB8" s="6"/>
    </row>
    <row r="9">
      <c r="A9" s="9">
        <f>A7+7</f>
        <v>46055</v>
      </c>
      <c r="B9" s="7">
        <f t="shared" ref="B9:B12" si="5">ISOWEEKNUM(A9)-1</f>
        <v>5</v>
      </c>
      <c r="C9" s="6"/>
      <c r="D9" s="6">
        <f>C7-$S$2</f>
        <v>18.375</v>
      </c>
      <c r="E9" s="6"/>
      <c r="F9" s="6"/>
      <c r="G9" s="6"/>
      <c r="H9" s="6"/>
      <c r="I9" s="6"/>
      <c r="J9" s="6"/>
      <c r="K9" s="6"/>
      <c r="L9" s="6"/>
      <c r="M9" s="6"/>
      <c r="N9" s="6"/>
      <c r="W9" s="6"/>
      <c r="X9" s="6"/>
      <c r="Y9" s="6"/>
      <c r="Z9" s="6"/>
      <c r="AA9" s="6"/>
      <c r="AB9" s="6"/>
    </row>
    <row r="10">
      <c r="A10" s="9">
        <f t="shared" ref="A10:A12" si="6">A9+7</f>
        <v>46062</v>
      </c>
      <c r="B10" s="7">
        <f t="shared" si="5"/>
        <v>6</v>
      </c>
      <c r="C10" s="6"/>
      <c r="D10" s="6">
        <f t="shared" ref="D10:D12" si="7">D9-$S$2</f>
        <v>18.25</v>
      </c>
      <c r="E10" s="6"/>
      <c r="F10" s="6"/>
      <c r="G10" s="6"/>
      <c r="H10" s="6"/>
      <c r="I10" s="6"/>
      <c r="J10" s="6"/>
      <c r="K10" s="6"/>
      <c r="L10" s="6"/>
      <c r="M10" s="6"/>
      <c r="N10" s="6"/>
      <c r="W10" s="6"/>
      <c r="X10" s="6"/>
      <c r="Y10" s="6"/>
      <c r="Z10" s="6"/>
      <c r="AA10" s="6"/>
      <c r="AB10" s="6"/>
    </row>
    <row r="11">
      <c r="A11" s="9">
        <f t="shared" si="6"/>
        <v>46069</v>
      </c>
      <c r="B11" s="7">
        <f t="shared" si="5"/>
        <v>7</v>
      </c>
      <c r="C11" s="6"/>
      <c r="D11" s="6">
        <f t="shared" si="7"/>
        <v>18.125</v>
      </c>
      <c r="E11" s="6"/>
      <c r="F11" s="6"/>
      <c r="G11" s="6"/>
      <c r="H11" s="6"/>
      <c r="I11" s="6"/>
      <c r="J11" s="6"/>
      <c r="K11" s="6"/>
      <c r="L11" s="6"/>
      <c r="M11" s="6"/>
      <c r="N11" s="6"/>
      <c r="W11" s="6"/>
      <c r="X11" s="6"/>
      <c r="Y11" s="6"/>
      <c r="Z11" s="6"/>
      <c r="AA11" s="6"/>
      <c r="AB11" s="6"/>
    </row>
    <row r="12">
      <c r="A12" s="9">
        <f t="shared" si="6"/>
        <v>46076</v>
      </c>
      <c r="B12" s="7">
        <f t="shared" si="5"/>
        <v>8</v>
      </c>
      <c r="C12" s="6"/>
      <c r="D12" s="6">
        <f t="shared" si="7"/>
        <v>18</v>
      </c>
      <c r="E12" s="6"/>
      <c r="F12" s="6"/>
      <c r="G12" s="6"/>
      <c r="H12" s="6"/>
      <c r="I12" s="6"/>
      <c r="J12" s="6"/>
      <c r="K12" s="6"/>
      <c r="L12" s="6"/>
      <c r="M12" s="6"/>
      <c r="N12" s="6"/>
      <c r="W12" s="6"/>
      <c r="X12" s="6"/>
      <c r="Y12" s="6"/>
      <c r="Z12" s="6"/>
      <c r="AA12" s="6"/>
      <c r="AB12" s="6"/>
    </row>
    <row r="13">
      <c r="C13" s="6"/>
      <c r="F13" s="6"/>
      <c r="G13" s="6"/>
      <c r="H13" s="6"/>
      <c r="I13" s="6"/>
      <c r="J13" s="6"/>
      <c r="K13" s="6"/>
      <c r="L13" s="6"/>
      <c r="M13" s="6"/>
      <c r="N13" s="6"/>
      <c r="W13" s="6"/>
      <c r="X13" s="6"/>
      <c r="Y13" s="6"/>
      <c r="Z13" s="6"/>
      <c r="AA13" s="6"/>
      <c r="AB13" s="6"/>
    </row>
    <row r="14">
      <c r="A14" s="9">
        <f>A12+7</f>
        <v>46083</v>
      </c>
      <c r="B14" s="7">
        <f t="shared" ref="B14:B17" si="8">ISOWEEKNUM(A14)-1</f>
        <v>9</v>
      </c>
      <c r="C14" s="6"/>
      <c r="D14" s="6"/>
      <c r="E14" s="6">
        <f>D12-$S$2</f>
        <v>17.875</v>
      </c>
      <c r="F14" s="6"/>
      <c r="G14" s="6"/>
      <c r="H14" s="6"/>
      <c r="I14" s="6"/>
      <c r="J14" s="6"/>
      <c r="K14" s="6"/>
      <c r="L14" s="6"/>
      <c r="M14" s="6"/>
      <c r="N14" s="6"/>
      <c r="W14" s="6"/>
      <c r="X14" s="6"/>
      <c r="Y14" s="6"/>
      <c r="Z14" s="6"/>
      <c r="AA14" s="6"/>
      <c r="AB14" s="6"/>
    </row>
    <row r="15">
      <c r="A15" s="9">
        <f t="shared" ref="A15:A17" si="9">A14+7</f>
        <v>46090</v>
      </c>
      <c r="B15" s="7">
        <f t="shared" si="8"/>
        <v>10</v>
      </c>
      <c r="C15" s="6"/>
      <c r="D15" s="6"/>
      <c r="E15" s="6">
        <f t="shared" ref="E15:E17" si="10">E14-$S$2</f>
        <v>17.75</v>
      </c>
      <c r="F15" s="6"/>
      <c r="G15" s="6"/>
      <c r="H15" s="6"/>
      <c r="I15" s="6"/>
      <c r="J15" s="6"/>
      <c r="K15" s="6"/>
      <c r="L15" s="6"/>
      <c r="M15" s="6"/>
      <c r="N15" s="6"/>
      <c r="W15" s="6"/>
      <c r="X15" s="6"/>
      <c r="Y15" s="6"/>
      <c r="Z15" s="6"/>
      <c r="AA15" s="6"/>
      <c r="AB15" s="6"/>
    </row>
    <row r="16">
      <c r="A16" s="9">
        <f t="shared" si="9"/>
        <v>46097</v>
      </c>
      <c r="B16" s="7">
        <f t="shared" si="8"/>
        <v>11</v>
      </c>
      <c r="C16" s="6"/>
      <c r="D16" s="6"/>
      <c r="E16" s="6">
        <f t="shared" si="10"/>
        <v>17.625</v>
      </c>
      <c r="F16" s="6"/>
      <c r="G16" s="6"/>
      <c r="H16" s="6"/>
      <c r="I16" s="6"/>
      <c r="J16" s="6"/>
      <c r="K16" s="6"/>
      <c r="L16" s="6"/>
      <c r="M16" s="6"/>
      <c r="N16" s="6"/>
      <c r="W16" s="6"/>
      <c r="X16" s="6"/>
      <c r="Y16" s="6"/>
      <c r="Z16" s="6"/>
      <c r="AA16" s="6"/>
      <c r="AB16" s="6"/>
    </row>
    <row r="17">
      <c r="A17" s="9">
        <f t="shared" si="9"/>
        <v>46104</v>
      </c>
      <c r="B17" s="7">
        <f t="shared" si="8"/>
        <v>12</v>
      </c>
      <c r="C17" s="6"/>
      <c r="D17" s="6"/>
      <c r="E17" s="6">
        <f t="shared" si="10"/>
        <v>17.5</v>
      </c>
      <c r="F17" s="6"/>
      <c r="G17" s="6"/>
      <c r="H17" s="6"/>
      <c r="I17" s="6"/>
      <c r="J17" s="6"/>
      <c r="K17" s="6"/>
      <c r="L17" s="6"/>
      <c r="M17" s="6"/>
      <c r="N17" s="6"/>
      <c r="W17" s="6"/>
      <c r="X17" s="6"/>
      <c r="Y17" s="6"/>
      <c r="Z17" s="6"/>
      <c r="AA17" s="6"/>
      <c r="AB17" s="6"/>
    </row>
    <row r="18">
      <c r="G18" s="6"/>
      <c r="H18" s="6"/>
      <c r="I18" s="6"/>
      <c r="J18" s="6"/>
      <c r="K18" s="6"/>
      <c r="L18" s="6"/>
      <c r="M18" s="6"/>
      <c r="N18" s="6"/>
      <c r="W18" s="6"/>
      <c r="X18" s="5"/>
      <c r="Y18" s="6"/>
      <c r="Z18" s="6"/>
      <c r="AA18" s="6"/>
      <c r="AB18" s="6"/>
    </row>
    <row r="19">
      <c r="A19" s="9">
        <f>A17+7</f>
        <v>46111</v>
      </c>
      <c r="B19" s="7">
        <f t="shared" ref="B19:B23" si="11">ISOWEEKNUM(A19)-1</f>
        <v>13</v>
      </c>
      <c r="C19" s="6"/>
      <c r="D19" s="6"/>
      <c r="F19" s="5">
        <f>E17--$S$2</f>
        <v>17.625</v>
      </c>
      <c r="G19" s="6"/>
      <c r="H19" s="6"/>
      <c r="I19" s="6"/>
      <c r="J19" s="6"/>
      <c r="K19" s="6"/>
      <c r="L19" s="6"/>
      <c r="M19" s="6"/>
      <c r="N19" s="6"/>
      <c r="W19" s="6"/>
      <c r="X19" s="6"/>
      <c r="Y19" s="6"/>
      <c r="Z19" s="6"/>
      <c r="AA19" s="6"/>
      <c r="AB19" s="6"/>
    </row>
    <row r="20">
      <c r="A20" s="9">
        <f t="shared" ref="A20:A23" si="12">A19+7</f>
        <v>46118</v>
      </c>
      <c r="B20" s="7">
        <f t="shared" si="11"/>
        <v>14</v>
      </c>
      <c r="C20" s="6"/>
      <c r="D20" s="6"/>
      <c r="E20" s="6"/>
      <c r="F20" s="6">
        <f t="shared" ref="F20:F23" si="13">F19-$S$2</f>
        <v>17.5</v>
      </c>
      <c r="G20" s="6"/>
      <c r="H20" s="6"/>
      <c r="I20" s="6"/>
      <c r="J20" s="6"/>
      <c r="K20" s="6"/>
      <c r="L20" s="6"/>
      <c r="M20" s="6"/>
      <c r="N20" s="6"/>
      <c r="W20" s="6"/>
      <c r="X20" s="6"/>
      <c r="Y20" s="6"/>
      <c r="Z20" s="6"/>
      <c r="AA20" s="6"/>
      <c r="AB20" s="6"/>
    </row>
    <row r="21">
      <c r="A21" s="9">
        <f t="shared" si="12"/>
        <v>46125</v>
      </c>
      <c r="B21" s="7">
        <f t="shared" si="11"/>
        <v>15</v>
      </c>
      <c r="C21" s="6"/>
      <c r="D21" s="6"/>
      <c r="E21" s="6"/>
      <c r="F21" s="6">
        <f t="shared" si="13"/>
        <v>17.375</v>
      </c>
      <c r="G21" s="6"/>
      <c r="H21" s="6"/>
      <c r="I21" s="6"/>
      <c r="J21" s="6"/>
      <c r="K21" s="6"/>
      <c r="L21" s="6"/>
      <c r="M21" s="6"/>
      <c r="N21" s="6"/>
      <c r="W21" s="6"/>
      <c r="X21" s="6"/>
      <c r="Y21" s="6"/>
      <c r="Z21" s="6"/>
      <c r="AA21" s="6"/>
      <c r="AB21" s="6"/>
    </row>
    <row r="22">
      <c r="A22" s="9">
        <f t="shared" si="12"/>
        <v>46132</v>
      </c>
      <c r="B22" s="7">
        <f t="shared" si="11"/>
        <v>16</v>
      </c>
      <c r="C22" s="6"/>
      <c r="D22" s="6"/>
      <c r="E22" s="6"/>
      <c r="F22" s="6">
        <f t="shared" si="13"/>
        <v>17.25</v>
      </c>
      <c r="G22" s="6"/>
      <c r="H22" s="6"/>
      <c r="I22" s="6"/>
      <c r="J22" s="6"/>
      <c r="K22" s="6"/>
      <c r="L22" s="6"/>
      <c r="M22" s="6"/>
      <c r="N22" s="6"/>
      <c r="W22" s="6"/>
      <c r="X22" s="6"/>
      <c r="Y22" s="6"/>
      <c r="Z22" s="6"/>
      <c r="AA22" s="6"/>
      <c r="AB22" s="6"/>
    </row>
    <row r="23">
      <c r="A23" s="9">
        <f t="shared" si="12"/>
        <v>46139</v>
      </c>
      <c r="B23" s="7">
        <f t="shared" si="11"/>
        <v>17</v>
      </c>
      <c r="C23" s="6"/>
      <c r="D23" s="6"/>
      <c r="E23" s="6"/>
      <c r="F23" s="6">
        <f t="shared" si="13"/>
        <v>17.125</v>
      </c>
      <c r="G23" s="6"/>
      <c r="H23" s="6"/>
      <c r="I23" s="6"/>
      <c r="J23" s="6"/>
      <c r="K23" s="6"/>
      <c r="L23" s="6"/>
      <c r="M23" s="6"/>
      <c r="N23" s="6"/>
      <c r="W23" s="6"/>
      <c r="X23" s="6"/>
      <c r="Y23" s="6"/>
      <c r="Z23" s="6"/>
      <c r="AA23" s="6"/>
      <c r="AB23" s="6"/>
    </row>
    <row r="24">
      <c r="C24" s="6"/>
      <c r="D24" s="6"/>
      <c r="E24" s="6"/>
      <c r="F24" s="6"/>
      <c r="H24" s="6"/>
      <c r="I24" s="6"/>
      <c r="J24" s="6"/>
      <c r="K24" s="6"/>
      <c r="L24" s="6"/>
      <c r="M24" s="6"/>
      <c r="N24" s="6"/>
      <c r="W24" s="6"/>
      <c r="X24" s="6"/>
      <c r="Y24" s="6"/>
      <c r="AA24" s="6"/>
      <c r="AB24" s="6"/>
    </row>
    <row r="25">
      <c r="A25" s="9">
        <f>A23+7</f>
        <v>46146</v>
      </c>
      <c r="B25" s="7">
        <f t="shared" ref="B25:B28" si="14">ISOWEEKNUM(A25)-1</f>
        <v>18</v>
      </c>
      <c r="C25" s="6"/>
      <c r="D25" s="6"/>
      <c r="E25" s="6"/>
      <c r="F25" s="6"/>
      <c r="G25" s="6">
        <f>F23-$S$2</f>
        <v>17</v>
      </c>
      <c r="H25" s="6"/>
      <c r="I25" s="6"/>
      <c r="J25" s="6"/>
      <c r="K25" s="6"/>
      <c r="L25" s="6"/>
      <c r="M25" s="6"/>
      <c r="N25" s="6"/>
      <c r="W25" s="6"/>
      <c r="X25" s="6"/>
      <c r="Y25" s="6"/>
      <c r="AA25" s="6"/>
      <c r="AB25" s="6"/>
    </row>
    <row r="26">
      <c r="A26" s="9">
        <f t="shared" ref="A26:A28" si="15">A25+7</f>
        <v>46153</v>
      </c>
      <c r="B26" s="7">
        <f t="shared" si="14"/>
        <v>19</v>
      </c>
      <c r="C26" s="6"/>
      <c r="D26" s="6"/>
      <c r="E26" s="6"/>
      <c r="F26" s="6"/>
      <c r="G26" s="6">
        <f t="shared" ref="G26:G28" si="16">G25-$S$2</f>
        <v>16.875</v>
      </c>
      <c r="H26" s="6"/>
      <c r="I26" s="6"/>
      <c r="J26" s="6"/>
      <c r="K26" s="6"/>
      <c r="L26" s="6"/>
      <c r="M26" s="6"/>
      <c r="N26" s="6"/>
      <c r="W26" s="6"/>
      <c r="X26" s="6"/>
      <c r="Y26" s="6"/>
      <c r="Z26" s="6"/>
      <c r="AA26" s="6"/>
      <c r="AB26" s="6"/>
    </row>
    <row r="27">
      <c r="A27" s="9">
        <f t="shared" si="15"/>
        <v>46160</v>
      </c>
      <c r="B27" s="7">
        <f t="shared" si="14"/>
        <v>20</v>
      </c>
      <c r="C27" s="6"/>
      <c r="D27" s="6"/>
      <c r="E27" s="6"/>
      <c r="F27" s="6"/>
      <c r="G27" s="6">
        <f t="shared" si="16"/>
        <v>16.75</v>
      </c>
      <c r="H27" s="6"/>
      <c r="I27" s="6"/>
      <c r="J27" s="6"/>
      <c r="K27" s="6"/>
      <c r="L27" s="6"/>
      <c r="M27" s="6"/>
      <c r="N27" s="6"/>
      <c r="W27" s="6"/>
      <c r="X27" s="6"/>
      <c r="Y27" s="6"/>
      <c r="Z27" s="6"/>
      <c r="AA27" s="6"/>
      <c r="AB27" s="6"/>
    </row>
    <row r="28">
      <c r="A28" s="9">
        <f t="shared" si="15"/>
        <v>46167</v>
      </c>
      <c r="B28" s="7">
        <f t="shared" si="14"/>
        <v>21</v>
      </c>
      <c r="C28" s="6"/>
      <c r="D28" s="6"/>
      <c r="E28" s="6"/>
      <c r="F28" s="6"/>
      <c r="G28" s="6">
        <f t="shared" si="16"/>
        <v>16.625</v>
      </c>
      <c r="H28" s="6"/>
      <c r="I28" s="6"/>
      <c r="J28" s="6"/>
      <c r="K28" s="6"/>
      <c r="L28" s="6"/>
      <c r="M28" s="6"/>
      <c r="N28" s="6"/>
      <c r="W28" s="6"/>
      <c r="X28" s="6"/>
      <c r="Y28" s="6"/>
      <c r="Z28" s="6"/>
      <c r="AA28" s="6"/>
      <c r="AB28" s="6"/>
    </row>
    <row r="29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W29" s="6"/>
      <c r="X29" s="6"/>
      <c r="Y29" s="6"/>
      <c r="Z29" s="6"/>
      <c r="AA29" s="6"/>
      <c r="AB29" s="6"/>
    </row>
    <row r="30">
      <c r="A30" s="9">
        <f>A28+7</f>
        <v>46174</v>
      </c>
      <c r="B30" s="7">
        <f t="shared" ref="B30:B34" si="17">ISOWEEKNUM(A30)-1</f>
        <v>22</v>
      </c>
      <c r="C30" s="6"/>
      <c r="D30" s="6"/>
      <c r="E30" s="6"/>
      <c r="F30" s="6"/>
      <c r="G30" s="6"/>
      <c r="H30" s="5">
        <f>G28-$S$2</f>
        <v>16.5</v>
      </c>
      <c r="I30" s="5"/>
      <c r="J30" s="5"/>
      <c r="K30" s="5"/>
      <c r="L30" s="5"/>
      <c r="M30" s="5"/>
      <c r="N30" s="5"/>
      <c r="W30" s="6"/>
      <c r="X30" s="6"/>
      <c r="Y30" s="6"/>
      <c r="Z30" s="6"/>
      <c r="AA30" s="6"/>
      <c r="AB30" s="6"/>
    </row>
    <row r="31">
      <c r="A31" s="9">
        <f t="shared" ref="A31:A34" si="18">A30+7</f>
        <v>46181</v>
      </c>
      <c r="B31" s="7">
        <f t="shared" si="17"/>
        <v>23</v>
      </c>
      <c r="C31" s="6"/>
      <c r="D31" s="6"/>
      <c r="E31" s="6"/>
      <c r="F31" s="6"/>
      <c r="G31" s="6"/>
      <c r="H31" s="6">
        <f t="shared" ref="H31:H34" si="19">H30-$S$2</f>
        <v>16.375</v>
      </c>
      <c r="I31" s="6"/>
      <c r="J31" s="6"/>
      <c r="K31" s="6"/>
      <c r="L31" s="6"/>
      <c r="M31" s="6"/>
      <c r="N31" s="6"/>
      <c r="W31" s="6"/>
      <c r="X31" s="6"/>
      <c r="Y31" s="6"/>
      <c r="Z31" s="6"/>
      <c r="AA31" s="6"/>
      <c r="AB31" s="6"/>
    </row>
    <row r="32">
      <c r="A32" s="9">
        <f t="shared" si="18"/>
        <v>46188</v>
      </c>
      <c r="B32" s="7">
        <f t="shared" si="17"/>
        <v>24</v>
      </c>
      <c r="C32" s="6"/>
      <c r="D32" s="6"/>
      <c r="E32" s="6"/>
      <c r="F32" s="6"/>
      <c r="G32" s="6"/>
      <c r="H32" s="6">
        <f t="shared" si="19"/>
        <v>16.25</v>
      </c>
      <c r="I32" s="6"/>
      <c r="J32" s="6"/>
      <c r="K32" s="6"/>
      <c r="L32" s="6"/>
      <c r="M32" s="6"/>
      <c r="N32" s="6"/>
      <c r="W32" s="6"/>
      <c r="X32" s="6"/>
      <c r="Y32" s="6"/>
      <c r="Z32" s="6"/>
      <c r="AA32" s="6"/>
      <c r="AB32" s="6"/>
    </row>
    <row r="33">
      <c r="A33" s="9">
        <f t="shared" si="18"/>
        <v>46195</v>
      </c>
      <c r="B33" s="7">
        <f t="shared" si="17"/>
        <v>25</v>
      </c>
      <c r="C33" s="6"/>
      <c r="D33" s="6"/>
      <c r="E33" s="6"/>
      <c r="F33" s="6"/>
      <c r="G33" s="6"/>
      <c r="H33" s="6">
        <f t="shared" si="19"/>
        <v>16.125</v>
      </c>
      <c r="I33" s="6"/>
      <c r="J33" s="6"/>
      <c r="K33" s="6"/>
      <c r="L33" s="6"/>
      <c r="M33" s="6"/>
      <c r="N33" s="6"/>
      <c r="W33" s="6"/>
      <c r="X33" s="6"/>
      <c r="Y33" s="6"/>
      <c r="Z33" s="6"/>
      <c r="AA33" s="6"/>
      <c r="AB33" s="6"/>
    </row>
    <row r="34">
      <c r="A34" s="9">
        <f t="shared" si="18"/>
        <v>46202</v>
      </c>
      <c r="B34" s="7">
        <f t="shared" si="17"/>
        <v>26</v>
      </c>
      <c r="C34" s="6"/>
      <c r="D34" s="6"/>
      <c r="E34" s="6"/>
      <c r="F34" s="6"/>
      <c r="G34" s="6"/>
      <c r="H34" s="6">
        <f t="shared" si="19"/>
        <v>16</v>
      </c>
      <c r="I34" s="6"/>
      <c r="J34" s="6"/>
      <c r="K34" s="6"/>
      <c r="L34" s="6"/>
      <c r="M34" s="6"/>
      <c r="N34" s="6"/>
      <c r="W34" s="6"/>
      <c r="X34" s="6"/>
      <c r="Y34" s="6"/>
      <c r="Z34" s="6"/>
      <c r="AA34" s="6"/>
      <c r="AB34" s="6"/>
    </row>
    <row r="36">
      <c r="A36" s="9">
        <f>A34+7</f>
        <v>46209</v>
      </c>
      <c r="B36" s="7">
        <f t="shared" ref="B36:B39" si="20">ISOWEEKNUM(A36)-1</f>
        <v>27</v>
      </c>
      <c r="I36" s="5">
        <f>H34-$S$2</f>
        <v>15.875</v>
      </c>
      <c r="AB36" s="6"/>
    </row>
    <row r="37">
      <c r="A37" s="9">
        <f t="shared" ref="A37:A39" si="21">A36+7</f>
        <v>46216</v>
      </c>
      <c r="B37" s="7">
        <f t="shared" si="20"/>
        <v>28</v>
      </c>
      <c r="I37" s="6">
        <f t="shared" ref="I37:I39" si="22">I36-$S$2</f>
        <v>15.75</v>
      </c>
      <c r="AB37" s="6"/>
    </row>
    <row r="38">
      <c r="A38" s="9">
        <f t="shared" si="21"/>
        <v>46223</v>
      </c>
      <c r="B38" s="7">
        <f t="shared" si="20"/>
        <v>29</v>
      </c>
      <c r="I38" s="6">
        <f t="shared" si="22"/>
        <v>15.625</v>
      </c>
      <c r="AB38" s="6"/>
    </row>
    <row r="39">
      <c r="A39" s="9">
        <f t="shared" si="21"/>
        <v>46230</v>
      </c>
      <c r="B39" s="7">
        <f t="shared" si="20"/>
        <v>30</v>
      </c>
      <c r="I39" s="6">
        <f t="shared" si="22"/>
        <v>15.5</v>
      </c>
      <c r="AB39" s="6"/>
    </row>
    <row r="40">
      <c r="A40" s="9"/>
      <c r="AB40" s="6"/>
    </row>
    <row r="41">
      <c r="A41" s="9">
        <f>A39+7</f>
        <v>46237</v>
      </c>
      <c r="B41" s="7">
        <f t="shared" ref="B41:B45" si="23">ISOWEEKNUM(A41)-1</f>
        <v>31</v>
      </c>
      <c r="J41" s="5">
        <f>I39-$S$2</f>
        <v>15.375</v>
      </c>
    </row>
    <row r="42">
      <c r="A42" s="9">
        <f t="shared" ref="A42:A45" si="24">A41+7</f>
        <v>46244</v>
      </c>
      <c r="B42" s="7">
        <f t="shared" si="23"/>
        <v>32</v>
      </c>
      <c r="J42" s="6">
        <f t="shared" ref="J42:J45" si="25">J41-$S$2</f>
        <v>15.25</v>
      </c>
    </row>
    <row r="43">
      <c r="A43" s="9">
        <f t="shared" si="24"/>
        <v>46251</v>
      </c>
      <c r="B43" s="7">
        <f t="shared" si="23"/>
        <v>33</v>
      </c>
      <c r="J43" s="6">
        <f t="shared" si="25"/>
        <v>15.125</v>
      </c>
    </row>
    <row r="44">
      <c r="A44" s="9">
        <f t="shared" si="24"/>
        <v>46258</v>
      </c>
      <c r="B44" s="7">
        <f t="shared" si="23"/>
        <v>34</v>
      </c>
      <c r="J44" s="6">
        <f t="shared" si="25"/>
        <v>15</v>
      </c>
    </row>
    <row r="45">
      <c r="A45" s="9">
        <f t="shared" si="24"/>
        <v>46265</v>
      </c>
      <c r="B45" s="7">
        <f t="shared" si="23"/>
        <v>35</v>
      </c>
      <c r="J45" s="5">
        <f t="shared" si="25"/>
        <v>14.875</v>
      </c>
    </row>
    <row r="46">
      <c r="A46" s="9"/>
      <c r="K46" s="6"/>
    </row>
    <row r="47">
      <c r="A47" s="9">
        <f>A45+7</f>
        <v>46272</v>
      </c>
      <c r="B47" s="7">
        <f t="shared" ref="B47:B50" si="26">ISOWEEKNUM(A47)-1</f>
        <v>36</v>
      </c>
      <c r="K47" s="6">
        <f>J45-$S$2</f>
        <v>14.75</v>
      </c>
    </row>
    <row r="48">
      <c r="A48" s="9">
        <f t="shared" ref="A48:A50" si="27">A47+7</f>
        <v>46279</v>
      </c>
      <c r="B48" s="7">
        <f t="shared" si="26"/>
        <v>37</v>
      </c>
      <c r="K48" s="6">
        <f t="shared" ref="K48:K50" si="28">K47-$S$2</f>
        <v>14.625</v>
      </c>
    </row>
    <row r="49">
      <c r="A49" s="9">
        <f t="shared" si="27"/>
        <v>46286</v>
      </c>
      <c r="B49" s="7">
        <f t="shared" si="26"/>
        <v>38</v>
      </c>
      <c r="K49" s="6">
        <f t="shared" si="28"/>
        <v>14.5</v>
      </c>
    </row>
    <row r="50">
      <c r="A50" s="9">
        <f t="shared" si="27"/>
        <v>46293</v>
      </c>
      <c r="B50" s="7">
        <f t="shared" si="26"/>
        <v>39</v>
      </c>
      <c r="K50" s="6">
        <f t="shared" si="28"/>
        <v>14.375</v>
      </c>
    </row>
    <row r="52">
      <c r="A52" s="9">
        <f>A50+7</f>
        <v>46300</v>
      </c>
      <c r="B52" s="7">
        <f t="shared" ref="B52:B55" si="29">ISOWEEKNUM(A52)-1</f>
        <v>40</v>
      </c>
      <c r="L52" s="5">
        <f>K50-$S$2</f>
        <v>14.25</v>
      </c>
    </row>
    <row r="53">
      <c r="A53" s="9">
        <f t="shared" ref="A53:A55" si="30">A52+7</f>
        <v>46307</v>
      </c>
      <c r="B53" s="7">
        <f t="shared" si="29"/>
        <v>41</v>
      </c>
      <c r="L53" s="6">
        <f t="shared" ref="L53:L55" si="31">L52-$S$2</f>
        <v>14.125</v>
      </c>
    </row>
    <row r="54">
      <c r="A54" s="9">
        <f t="shared" si="30"/>
        <v>46314</v>
      </c>
      <c r="B54" s="7">
        <f t="shared" si="29"/>
        <v>42</v>
      </c>
      <c r="L54" s="6">
        <f t="shared" si="31"/>
        <v>14</v>
      </c>
    </row>
    <row r="55">
      <c r="A55" s="9">
        <f t="shared" si="30"/>
        <v>46321</v>
      </c>
      <c r="B55" s="7">
        <f t="shared" si="29"/>
        <v>43</v>
      </c>
      <c r="L55" s="6">
        <f t="shared" si="31"/>
        <v>13.875</v>
      </c>
    </row>
    <row r="56">
      <c r="A56" s="9"/>
      <c r="L56" s="6"/>
    </row>
    <row r="57">
      <c r="A57" s="9">
        <f>A55+7</f>
        <v>46328</v>
      </c>
      <c r="B57" s="7">
        <f t="shared" ref="B57:B61" si="32">ISOWEEKNUM(A57)-1</f>
        <v>44</v>
      </c>
      <c r="M57" s="6">
        <f>L55-$S$2</f>
        <v>13.75</v>
      </c>
    </row>
    <row r="58">
      <c r="A58" s="9">
        <f t="shared" ref="A58:A61" si="33">A57+7</f>
        <v>46335</v>
      </c>
      <c r="B58" s="7">
        <f t="shared" si="32"/>
        <v>45</v>
      </c>
      <c r="M58" s="5">
        <f t="shared" ref="M58:M61" si="34">M57-$S$2</f>
        <v>13.625</v>
      </c>
    </row>
    <row r="59">
      <c r="A59" s="9">
        <f t="shared" si="33"/>
        <v>46342</v>
      </c>
      <c r="B59" s="7">
        <f t="shared" si="32"/>
        <v>46</v>
      </c>
      <c r="M59" s="6">
        <f t="shared" si="34"/>
        <v>13.5</v>
      </c>
    </row>
    <row r="60">
      <c r="A60" s="9">
        <f t="shared" si="33"/>
        <v>46349</v>
      </c>
      <c r="B60" s="7">
        <f t="shared" si="32"/>
        <v>47</v>
      </c>
      <c r="M60" s="6">
        <f t="shared" si="34"/>
        <v>13.375</v>
      </c>
    </row>
    <row r="61">
      <c r="A61" s="9">
        <f t="shared" si="33"/>
        <v>46356</v>
      </c>
      <c r="B61" s="7">
        <f t="shared" si="32"/>
        <v>48</v>
      </c>
      <c r="M61" s="6">
        <f t="shared" si="34"/>
        <v>13.25</v>
      </c>
    </row>
    <row r="62">
      <c r="A62" s="9"/>
      <c r="M62" s="6"/>
    </row>
    <row r="63">
      <c r="A63" s="9">
        <f>A61+7</f>
        <v>46363</v>
      </c>
      <c r="B63" s="7">
        <f t="shared" ref="B63:B66" si="35">ISOWEEKNUM(A63)-1</f>
        <v>49</v>
      </c>
      <c r="N63" s="6">
        <f>M61-$S$2</f>
        <v>13.125</v>
      </c>
    </row>
    <row r="64">
      <c r="A64" s="9">
        <f t="shared" ref="A64:A66" si="36">A63+7</f>
        <v>46370</v>
      </c>
      <c r="B64" s="7">
        <f t="shared" si="35"/>
        <v>50</v>
      </c>
      <c r="N64" s="5">
        <f t="shared" ref="N64:N66" si="37">N63-$S$2</f>
        <v>13</v>
      </c>
    </row>
    <row r="65">
      <c r="A65" s="9">
        <f t="shared" si="36"/>
        <v>46377</v>
      </c>
      <c r="B65" s="7">
        <f t="shared" si="35"/>
        <v>51</v>
      </c>
      <c r="N65" s="6">
        <f t="shared" si="37"/>
        <v>12.875</v>
      </c>
    </row>
    <row r="66">
      <c r="A66" s="9">
        <f t="shared" si="36"/>
        <v>46384</v>
      </c>
      <c r="B66" s="7">
        <f t="shared" si="35"/>
        <v>52</v>
      </c>
      <c r="N66" s="6">
        <f t="shared" si="37"/>
        <v>12.75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</cols>
  <sheetData>
    <row r="1">
      <c r="A1" s="1" t="s">
        <v>5</v>
      </c>
      <c r="C1" s="1"/>
      <c r="E1" s="1"/>
      <c r="F1" s="1"/>
      <c r="G1" s="1"/>
      <c r="H1" s="1"/>
      <c r="I1" s="1"/>
      <c r="J1" s="1"/>
      <c r="K1" s="1"/>
    </row>
    <row r="2">
      <c r="C2" s="1"/>
      <c r="E2" s="1"/>
      <c r="F2" s="1"/>
      <c r="G2" s="1"/>
      <c r="H2" s="1"/>
      <c r="I2" s="1"/>
      <c r="J2" s="1"/>
      <c r="K2" s="1"/>
    </row>
    <row r="3">
      <c r="A3" s="1" t="s">
        <v>20</v>
      </c>
      <c r="B3" s="1" t="s">
        <v>22</v>
      </c>
      <c r="C3" s="1" t="s">
        <v>23</v>
      </c>
      <c r="E3" s="2" t="s">
        <v>24</v>
      </c>
      <c r="F3" s="2" t="s">
        <v>25</v>
      </c>
      <c r="G3" s="2" t="s">
        <v>27</v>
      </c>
      <c r="H3" s="2" t="s">
        <v>29</v>
      </c>
      <c r="I3" s="2" t="s">
        <v>30</v>
      </c>
      <c r="J3" s="2" t="s">
        <v>31</v>
      </c>
      <c r="K3" s="2" t="s">
        <v>33</v>
      </c>
      <c r="L3" s="2" t="s">
        <v>35</v>
      </c>
      <c r="M3" s="2" t="s">
        <v>37</v>
      </c>
      <c r="N3" s="2"/>
      <c r="O3" s="2"/>
      <c r="P3" s="2"/>
      <c r="Q3" s="2"/>
    </row>
    <row r="4">
      <c r="A4" s="1"/>
      <c r="B4" s="1"/>
      <c r="C4" s="4"/>
      <c r="D4" s="5"/>
      <c r="M4" s="6"/>
      <c r="N4" s="6"/>
      <c r="O4" s="5"/>
      <c r="P4" s="5"/>
      <c r="Q4" s="5"/>
      <c r="S4" s="5" t="s">
        <v>39</v>
      </c>
    </row>
    <row r="5">
      <c r="A5" s="1" t="str">
        <f>text(C5,"MMMM")</f>
        <v>January</v>
      </c>
      <c r="B5" s="7">
        <f t="shared" ref="B5:B8" si="1">ISOWEEKNUM(C5)-1</f>
        <v>1</v>
      </c>
      <c r="C5" s="4">
        <v>46027.0</v>
      </c>
      <c r="D5" s="5"/>
      <c r="E5" s="5">
        <f>January!D4</f>
        <v>19</v>
      </c>
      <c r="F5" s="5">
        <f>January!E4</f>
        <v>19</v>
      </c>
      <c r="G5" s="5">
        <f>January!F4</f>
        <v>19</v>
      </c>
      <c r="H5" s="5">
        <f>January!G4</f>
        <v>19</v>
      </c>
      <c r="I5" s="5">
        <f>January!H4</f>
        <v>19</v>
      </c>
      <c r="J5" s="5">
        <f>January!I4</f>
        <v>19</v>
      </c>
      <c r="K5" s="5">
        <f>January!J4</f>
        <v>19</v>
      </c>
      <c r="L5" s="6">
        <f>min(E5:K5)</f>
        <v>19</v>
      </c>
      <c r="M5" s="6">
        <f>MAX(E5:K5)</f>
        <v>19</v>
      </c>
      <c r="N5" s="6"/>
      <c r="O5" s="5"/>
      <c r="P5" s="5"/>
      <c r="Q5" s="5"/>
      <c r="S5" s="5" t="s">
        <v>39</v>
      </c>
    </row>
    <row r="6">
      <c r="A6" s="1"/>
      <c r="B6" s="7">
        <f t="shared" si="1"/>
        <v>2</v>
      </c>
      <c r="C6" s="4">
        <f t="shared" ref="C6:C8" si="2">C5+7</f>
        <v>46034</v>
      </c>
      <c r="D6" s="5"/>
      <c r="E6" s="5">
        <f>January!D8</f>
        <v>19</v>
      </c>
      <c r="F6" s="5">
        <f>January!E8</f>
        <v>19</v>
      </c>
      <c r="G6" s="5">
        <f>January!F8</f>
        <v>19</v>
      </c>
      <c r="H6" s="5">
        <f>January!G8</f>
        <v>19</v>
      </c>
      <c r="I6" s="5">
        <f>January!H8</f>
        <v>19</v>
      </c>
      <c r="J6" s="5">
        <f>January!I8</f>
        <v>19</v>
      </c>
      <c r="K6" s="5">
        <f>January!J8</f>
        <v>19</v>
      </c>
      <c r="L6" s="5">
        <f>January!K8</f>
        <v>19</v>
      </c>
      <c r="M6" s="5">
        <f>January!L8</f>
        <v>19</v>
      </c>
      <c r="N6" s="6"/>
      <c r="O6" s="5"/>
      <c r="P6" s="5"/>
      <c r="Q6" s="5"/>
    </row>
    <row r="7">
      <c r="A7" s="1"/>
      <c r="B7" s="7">
        <f t="shared" si="1"/>
        <v>3</v>
      </c>
      <c r="C7" s="4">
        <f t="shared" si="2"/>
        <v>46041</v>
      </c>
      <c r="D7" s="5"/>
      <c r="E7" s="5">
        <f>January!D12</f>
        <v>19</v>
      </c>
      <c r="F7" s="5">
        <f>January!E12</f>
        <v>19</v>
      </c>
      <c r="G7" s="5">
        <f>January!F12</f>
        <v>19</v>
      </c>
      <c r="H7" s="5">
        <f>January!G12</f>
        <v>19</v>
      </c>
      <c r="I7" s="5">
        <f>January!H12</f>
        <v>19</v>
      </c>
      <c r="J7" s="5">
        <f>January!I12</f>
        <v>19</v>
      </c>
      <c r="K7" s="5">
        <f>January!J12</f>
        <v>19</v>
      </c>
      <c r="L7" s="5">
        <f>January!K12</f>
        <v>19</v>
      </c>
      <c r="M7" s="5">
        <f>January!L12</f>
        <v>19</v>
      </c>
      <c r="N7" s="6"/>
      <c r="O7" s="6"/>
      <c r="P7" s="6"/>
      <c r="Q7" s="6"/>
    </row>
    <row r="8">
      <c r="A8" s="1"/>
      <c r="B8" s="7">
        <f t="shared" si="1"/>
        <v>4</v>
      </c>
      <c r="C8" s="4">
        <f t="shared" si="2"/>
        <v>46048</v>
      </c>
      <c r="D8" s="5"/>
      <c r="E8" s="5">
        <f>January!D16</f>
        <v>19</v>
      </c>
      <c r="F8" s="5">
        <f>January!E16</f>
        <v>19</v>
      </c>
      <c r="G8" s="5">
        <f>January!F16</f>
        <v>19</v>
      </c>
      <c r="H8" s="5">
        <f>January!G16</f>
        <v>19</v>
      </c>
      <c r="I8" s="5">
        <f>January!H16</f>
        <v>19</v>
      </c>
      <c r="J8" s="5">
        <f>January!I16</f>
        <v>19</v>
      </c>
      <c r="K8" s="5">
        <f>January!J16</f>
        <v>19</v>
      </c>
      <c r="L8" s="5">
        <f>January!K16</f>
        <v>19</v>
      </c>
      <c r="M8" s="5">
        <f>January!L16</f>
        <v>19</v>
      </c>
      <c r="N8" s="6"/>
      <c r="O8" s="5"/>
      <c r="P8" s="6"/>
      <c r="Q8" s="6"/>
    </row>
    <row r="9">
      <c r="B9" s="1"/>
      <c r="C9" s="4"/>
      <c r="D9" s="5"/>
      <c r="L9" s="12"/>
      <c r="M9" s="12"/>
      <c r="N9" s="6"/>
      <c r="O9" s="6"/>
      <c r="P9" s="5"/>
      <c r="Q9" s="6"/>
    </row>
    <row r="10">
      <c r="A10" s="1" t="str">
        <f>text(C10,"MMMM")</f>
        <v>February</v>
      </c>
      <c r="B10" s="7">
        <f t="shared" ref="B10:B13" si="3">ISOWEEKNUM(C10)-1</f>
        <v>5</v>
      </c>
      <c r="C10" s="4">
        <f>C8+7</f>
        <v>46055</v>
      </c>
      <c r="D10" s="5"/>
      <c r="E10" s="5">
        <f>February!D4</f>
        <v>19</v>
      </c>
      <c r="F10" s="5">
        <f>February!E4</f>
        <v>19</v>
      </c>
      <c r="G10" s="5">
        <f>February!F4</f>
        <v>19</v>
      </c>
      <c r="H10" s="5">
        <f>February!G4</f>
        <v>19</v>
      </c>
      <c r="I10" s="5">
        <f>February!H4</f>
        <v>19</v>
      </c>
      <c r="J10" s="5">
        <f>February!I4</f>
        <v>19</v>
      </c>
      <c r="K10" s="5">
        <f>February!J4</f>
        <v>19</v>
      </c>
      <c r="L10" s="6">
        <f t="shared" ref="L10:L13" si="4">min(E10:K10)</f>
        <v>19</v>
      </c>
      <c r="M10" s="6">
        <f t="shared" ref="M10:M13" si="5">MAX(E10:K10)</f>
        <v>19</v>
      </c>
      <c r="N10" s="6"/>
      <c r="O10" s="6"/>
      <c r="P10" s="5"/>
      <c r="Q10" s="6"/>
    </row>
    <row r="11">
      <c r="B11" s="7">
        <f t="shared" si="3"/>
        <v>6</v>
      </c>
      <c r="C11" s="4">
        <f t="shared" ref="C11:C13" si="6">C10+7</f>
        <v>46062</v>
      </c>
      <c r="D11" s="5"/>
      <c r="E11" s="5">
        <f>February!D12</f>
        <v>19</v>
      </c>
      <c r="F11" s="5">
        <f>February!E12</f>
        <v>19</v>
      </c>
      <c r="G11" s="5">
        <f>February!F12</f>
        <v>19</v>
      </c>
      <c r="H11" s="5">
        <f>February!G12</f>
        <v>19</v>
      </c>
      <c r="I11" s="5">
        <f>February!H12</f>
        <v>19</v>
      </c>
      <c r="J11" s="5">
        <f>February!I12</f>
        <v>19</v>
      </c>
      <c r="K11" s="5">
        <f>February!J12</f>
        <v>19</v>
      </c>
      <c r="L11" s="6">
        <f t="shared" si="4"/>
        <v>19</v>
      </c>
      <c r="M11" s="6">
        <f t="shared" si="5"/>
        <v>19</v>
      </c>
      <c r="N11" s="6"/>
      <c r="O11" s="6"/>
      <c r="P11" s="5"/>
      <c r="Q11" s="6"/>
    </row>
    <row r="12">
      <c r="A12" s="1"/>
      <c r="B12" s="7">
        <f t="shared" si="3"/>
        <v>7</v>
      </c>
      <c r="C12" s="4">
        <f t="shared" si="6"/>
        <v>46069</v>
      </c>
      <c r="D12" s="5"/>
      <c r="E12" s="5">
        <f>February!D12</f>
        <v>19</v>
      </c>
      <c r="F12" s="5">
        <f>February!E12</f>
        <v>19</v>
      </c>
      <c r="G12" s="5">
        <f>February!F12</f>
        <v>19</v>
      </c>
      <c r="H12" s="5">
        <f>February!G12</f>
        <v>19</v>
      </c>
      <c r="I12" s="5">
        <f>February!H12</f>
        <v>19</v>
      </c>
      <c r="J12" s="5">
        <f>February!I12</f>
        <v>19</v>
      </c>
      <c r="K12" s="5">
        <f>February!J12</f>
        <v>19</v>
      </c>
      <c r="L12" s="6">
        <f t="shared" si="4"/>
        <v>19</v>
      </c>
      <c r="M12" s="6">
        <f t="shared" si="5"/>
        <v>19</v>
      </c>
      <c r="N12" s="6"/>
      <c r="O12" s="6"/>
      <c r="P12" s="6"/>
      <c r="Q12" s="6"/>
    </row>
    <row r="13">
      <c r="A13" s="1"/>
      <c r="B13" s="7">
        <f t="shared" si="3"/>
        <v>8</v>
      </c>
      <c r="C13" s="4">
        <f t="shared" si="6"/>
        <v>46076</v>
      </c>
      <c r="D13" s="5"/>
      <c r="E13" s="5">
        <f>February!D16</f>
        <v>19</v>
      </c>
      <c r="F13" s="5">
        <f>February!E16</f>
        <v>19</v>
      </c>
      <c r="G13" s="5">
        <f>February!F16</f>
        <v>19</v>
      </c>
      <c r="H13" s="5">
        <f>February!G16</f>
        <v>19</v>
      </c>
      <c r="I13" s="5">
        <f>February!H16</f>
        <v>19</v>
      </c>
      <c r="J13" s="5">
        <f>February!I16</f>
        <v>19</v>
      </c>
      <c r="K13" s="5">
        <f>February!J16</f>
        <v>19</v>
      </c>
      <c r="L13" s="6">
        <f t="shared" si="4"/>
        <v>19</v>
      </c>
      <c r="M13" s="6">
        <f t="shared" si="5"/>
        <v>19</v>
      </c>
      <c r="N13" s="5"/>
      <c r="O13" s="6"/>
      <c r="P13" s="6"/>
      <c r="Q13" s="6"/>
    </row>
    <row r="14">
      <c r="A14" s="1"/>
      <c r="B14" s="1"/>
      <c r="C14" s="4"/>
      <c r="D14" s="5"/>
      <c r="L14" s="12"/>
      <c r="M14" s="12"/>
      <c r="N14" s="5"/>
      <c r="O14" s="6"/>
      <c r="P14" s="6"/>
      <c r="Q14" s="6"/>
    </row>
    <row r="15">
      <c r="A15" s="1" t="str">
        <f>text(C15,"MMMM")</f>
        <v>March</v>
      </c>
      <c r="B15" s="7">
        <f t="shared" ref="B15:B18" si="7">ISOWEEKNUM(C15)-1</f>
        <v>9</v>
      </c>
      <c r="C15" s="4">
        <f>C13+7</f>
        <v>46083</v>
      </c>
      <c r="D15" s="5"/>
      <c r="E15" s="5">
        <f>March!D4</f>
        <v>19</v>
      </c>
      <c r="F15" s="5">
        <f>March!E4</f>
        <v>19</v>
      </c>
      <c r="G15" s="5">
        <f>March!F4</f>
        <v>19</v>
      </c>
      <c r="H15" s="5">
        <f>March!G4</f>
        <v>19</v>
      </c>
      <c r="I15" s="5">
        <f>March!H4</f>
        <v>19</v>
      </c>
      <c r="J15" s="5">
        <f>March!I4</f>
        <v>19</v>
      </c>
      <c r="K15" s="5">
        <f>March!J4</f>
        <v>19</v>
      </c>
      <c r="L15" s="6">
        <f t="shared" ref="L15:L18" si="8">min(E15:K15)</f>
        <v>19</v>
      </c>
      <c r="M15" s="6">
        <f t="shared" ref="M15:M18" si="9">MAX(E15:K15)</f>
        <v>19</v>
      </c>
      <c r="N15" s="5"/>
      <c r="O15" s="6"/>
      <c r="P15" s="6"/>
      <c r="Q15" s="6"/>
    </row>
    <row r="16">
      <c r="B16" s="7">
        <f t="shared" si="7"/>
        <v>10</v>
      </c>
      <c r="C16" s="4">
        <f t="shared" ref="C16:C18" si="10">C15+7</f>
        <v>46090</v>
      </c>
      <c r="D16" s="5"/>
      <c r="E16" s="5">
        <f>March!D8</f>
        <v>19</v>
      </c>
      <c r="F16" s="5">
        <f>March!E8</f>
        <v>19</v>
      </c>
      <c r="G16" s="5">
        <f>March!F8</f>
        <v>19</v>
      </c>
      <c r="H16" s="5">
        <f>March!G8</f>
        <v>19</v>
      </c>
      <c r="I16" s="5">
        <f>March!H8</f>
        <v>19</v>
      </c>
      <c r="J16" s="5">
        <f>March!I8</f>
        <v>19</v>
      </c>
      <c r="K16" s="5">
        <f>March!J8</f>
        <v>19</v>
      </c>
      <c r="L16" s="6">
        <f t="shared" si="8"/>
        <v>19</v>
      </c>
      <c r="M16" s="6">
        <f t="shared" si="9"/>
        <v>19</v>
      </c>
      <c r="N16" s="6"/>
      <c r="O16" s="6"/>
      <c r="P16" s="6"/>
      <c r="Q16" s="6"/>
    </row>
    <row r="17">
      <c r="A17" s="1"/>
      <c r="B17" s="7">
        <f t="shared" si="7"/>
        <v>11</v>
      </c>
      <c r="C17" s="4">
        <f t="shared" si="10"/>
        <v>46097</v>
      </c>
      <c r="D17" s="5"/>
      <c r="E17" s="5">
        <f>March!D12</f>
        <v>19</v>
      </c>
      <c r="F17" s="5">
        <f>March!E12</f>
        <v>19</v>
      </c>
      <c r="G17" s="5">
        <f>March!F12</f>
        <v>19</v>
      </c>
      <c r="H17" s="5">
        <f>March!G12</f>
        <v>19</v>
      </c>
      <c r="I17" s="5">
        <f>March!H12</f>
        <v>19</v>
      </c>
      <c r="J17" s="5">
        <f>March!I12</f>
        <v>19</v>
      </c>
      <c r="K17" s="5">
        <f>March!J12</f>
        <v>19</v>
      </c>
      <c r="L17" s="6">
        <f t="shared" si="8"/>
        <v>19</v>
      </c>
      <c r="M17" s="6">
        <f t="shared" si="9"/>
        <v>19</v>
      </c>
      <c r="N17" s="6"/>
      <c r="O17" s="6"/>
      <c r="P17" s="6"/>
      <c r="Q17" s="6"/>
    </row>
    <row r="18">
      <c r="A18" s="1"/>
      <c r="B18" s="7">
        <f t="shared" si="7"/>
        <v>12</v>
      </c>
      <c r="C18" s="4">
        <f t="shared" si="10"/>
        <v>46104</v>
      </c>
      <c r="D18" s="5"/>
      <c r="E18" s="5">
        <f>March!E16</f>
        <v>19</v>
      </c>
      <c r="F18" s="5">
        <f>March!F16</f>
        <v>19</v>
      </c>
      <c r="G18" s="5">
        <f>March!G16</f>
        <v>19</v>
      </c>
      <c r="H18" s="5">
        <f>March!H16</f>
        <v>19</v>
      </c>
      <c r="I18" s="5">
        <f>March!I16</f>
        <v>19</v>
      </c>
      <c r="J18" s="5">
        <f>March!J16</f>
        <v>19</v>
      </c>
      <c r="K18" s="5">
        <f>March!K16</f>
        <v>19</v>
      </c>
      <c r="L18" s="6">
        <f t="shared" si="8"/>
        <v>19</v>
      </c>
      <c r="M18" s="6">
        <f t="shared" si="9"/>
        <v>19</v>
      </c>
      <c r="N18" s="6"/>
      <c r="O18" s="6"/>
      <c r="Q18" s="6"/>
    </row>
    <row r="19">
      <c r="A19" s="1"/>
      <c r="B19" s="1"/>
      <c r="C19" s="4"/>
      <c r="D19" s="5"/>
      <c r="L19" s="12"/>
      <c r="M19" s="12"/>
      <c r="N19" s="6"/>
      <c r="Q19" s="6"/>
      <c r="S19" s="6"/>
    </row>
    <row r="20">
      <c r="A20" s="1" t="str">
        <f>text(C20+7,"MMMM")</f>
        <v>April</v>
      </c>
      <c r="B20" s="7">
        <f t="shared" ref="B20:B24" si="11">ISOWEEKNUM(C20)-1</f>
        <v>13</v>
      </c>
      <c r="C20" s="4">
        <f>C18+7</f>
        <v>46111</v>
      </c>
      <c r="D20" s="5"/>
      <c r="E20" s="5">
        <f>April!D4</f>
        <v>19</v>
      </c>
      <c r="F20" s="5">
        <f>April!E4</f>
        <v>19</v>
      </c>
      <c r="G20" s="5">
        <f>April!F4</f>
        <v>19</v>
      </c>
      <c r="H20" s="5">
        <f>April!G4</f>
        <v>19</v>
      </c>
      <c r="I20" s="5">
        <f>April!H4</f>
        <v>19</v>
      </c>
      <c r="J20" s="5">
        <f>April!I4</f>
        <v>19</v>
      </c>
      <c r="K20" s="5">
        <f>April!J4</f>
        <v>19</v>
      </c>
      <c r="L20" s="6">
        <f t="shared" ref="L20:L24" si="12">min(E20:K20)</f>
        <v>19</v>
      </c>
      <c r="M20" s="6">
        <f t="shared" ref="M20:M24" si="13">MAX(E20:K20)</f>
        <v>19</v>
      </c>
      <c r="N20" s="6"/>
      <c r="Q20" s="6"/>
      <c r="S20" s="6"/>
    </row>
    <row r="21">
      <c r="B21" s="7">
        <f t="shared" si="11"/>
        <v>14</v>
      </c>
      <c r="C21" s="9">
        <f t="shared" ref="C21:C24" si="14">C20+7</f>
        <v>46118</v>
      </c>
      <c r="E21" s="5">
        <f>April!D8</f>
        <v>19</v>
      </c>
      <c r="F21" s="5">
        <f>April!E8</f>
        <v>19</v>
      </c>
      <c r="G21" s="5">
        <f>April!F8</f>
        <v>19</v>
      </c>
      <c r="H21" s="5">
        <f>April!G8</f>
        <v>19</v>
      </c>
      <c r="I21" s="5">
        <f>April!H8</f>
        <v>19</v>
      </c>
      <c r="J21" s="5">
        <f>April!I8</f>
        <v>19</v>
      </c>
      <c r="K21" s="5">
        <f>April!J8</f>
        <v>19</v>
      </c>
      <c r="L21" s="6">
        <f t="shared" si="12"/>
        <v>19</v>
      </c>
      <c r="M21" s="6">
        <f t="shared" si="13"/>
        <v>19</v>
      </c>
      <c r="N21" s="6"/>
      <c r="Q21" s="6"/>
      <c r="S21" s="6"/>
    </row>
    <row r="22">
      <c r="B22" s="7">
        <f t="shared" si="11"/>
        <v>15</v>
      </c>
      <c r="C22" s="9">
        <f t="shared" si="14"/>
        <v>46125</v>
      </c>
      <c r="E22" s="5">
        <f>April!D12</f>
        <v>19</v>
      </c>
      <c r="F22" s="5">
        <f>April!E12</f>
        <v>19</v>
      </c>
      <c r="G22" s="5">
        <f>April!F12</f>
        <v>19</v>
      </c>
      <c r="H22" s="5">
        <f>April!G12</f>
        <v>19</v>
      </c>
      <c r="I22" s="5">
        <f>April!H12</f>
        <v>19</v>
      </c>
      <c r="J22" s="5">
        <f>April!I12</f>
        <v>19</v>
      </c>
      <c r="K22" s="5">
        <f>April!J12</f>
        <v>19</v>
      </c>
      <c r="L22" s="6">
        <f t="shared" si="12"/>
        <v>19</v>
      </c>
      <c r="M22" s="6">
        <f t="shared" si="13"/>
        <v>19</v>
      </c>
      <c r="N22" s="6"/>
      <c r="R22" s="6"/>
    </row>
    <row r="23">
      <c r="B23" s="7">
        <f t="shared" si="11"/>
        <v>16</v>
      </c>
      <c r="C23" s="9">
        <f t="shared" si="14"/>
        <v>46132</v>
      </c>
      <c r="E23" s="5">
        <f>April!D16</f>
        <v>19</v>
      </c>
      <c r="F23" s="5">
        <f>April!E16</f>
        <v>19</v>
      </c>
      <c r="G23" s="5">
        <f>April!F16</f>
        <v>19</v>
      </c>
      <c r="H23" s="5">
        <f>April!G16</f>
        <v>19</v>
      </c>
      <c r="I23" s="5">
        <f>April!H16</f>
        <v>19</v>
      </c>
      <c r="J23" s="5">
        <f>April!I16</f>
        <v>19</v>
      </c>
      <c r="K23" s="5">
        <f>April!J16</f>
        <v>19</v>
      </c>
      <c r="L23" s="6">
        <f t="shared" si="12"/>
        <v>19</v>
      </c>
      <c r="M23" s="6">
        <f t="shared" si="13"/>
        <v>19</v>
      </c>
      <c r="N23" s="6"/>
    </row>
    <row r="24">
      <c r="B24" s="7">
        <f t="shared" si="11"/>
        <v>17</v>
      </c>
      <c r="C24" s="9">
        <f t="shared" si="14"/>
        <v>46139</v>
      </c>
      <c r="E24" s="5">
        <f>April!D20</f>
        <v>19</v>
      </c>
      <c r="F24" s="5">
        <f>April!E20</f>
        <v>19</v>
      </c>
      <c r="G24" s="5">
        <f>April!F20</f>
        <v>19</v>
      </c>
      <c r="H24" s="5">
        <f>April!G20</f>
        <v>19</v>
      </c>
      <c r="I24" s="5">
        <f>April!H20</f>
        <v>19</v>
      </c>
      <c r="J24" s="5">
        <f>April!I20</f>
        <v>19</v>
      </c>
      <c r="K24" s="5">
        <f>April!J20</f>
        <v>19</v>
      </c>
      <c r="L24" s="6">
        <f t="shared" si="12"/>
        <v>19</v>
      </c>
      <c r="M24" s="6">
        <f t="shared" si="13"/>
        <v>19</v>
      </c>
      <c r="N24" s="6"/>
    </row>
    <row r="25">
      <c r="B25" s="1"/>
      <c r="C25" s="9"/>
      <c r="E25" s="1"/>
      <c r="F25" s="1"/>
      <c r="G25" s="1"/>
      <c r="H25" s="1"/>
      <c r="I25" s="1"/>
      <c r="J25" s="1"/>
      <c r="K25" s="1"/>
      <c r="L25" s="12"/>
      <c r="M25" s="12"/>
      <c r="N25" s="6"/>
    </row>
    <row r="26">
      <c r="A26" s="1" t="str">
        <f>text(C26,"MMMM")</f>
        <v>May</v>
      </c>
      <c r="B26" s="7">
        <f t="shared" ref="B26:B29" si="15">ISOWEEKNUM(C26)-1</f>
        <v>18</v>
      </c>
      <c r="C26" s="9">
        <f>C24+7</f>
        <v>46146</v>
      </c>
      <c r="E26" s="5">
        <f>May!D4</f>
        <v>19</v>
      </c>
      <c r="F26" s="5">
        <f>May!E4</f>
        <v>19</v>
      </c>
      <c r="G26" s="5">
        <f>May!F4</f>
        <v>19</v>
      </c>
      <c r="H26" s="5">
        <f>May!G4</f>
        <v>19</v>
      </c>
      <c r="I26" s="5">
        <f>May!H4</f>
        <v>19</v>
      </c>
      <c r="J26" s="5">
        <f>May!I4</f>
        <v>19</v>
      </c>
      <c r="K26" s="5">
        <f>May!J4</f>
        <v>19</v>
      </c>
      <c r="L26" s="5">
        <f>May!K4</f>
        <v>19</v>
      </c>
      <c r="M26" s="6">
        <f t="shared" ref="M26:M29" si="16">MAX(E26:K26)</f>
        <v>19</v>
      </c>
      <c r="N26" s="6"/>
    </row>
    <row r="27">
      <c r="B27" s="7">
        <f t="shared" si="15"/>
        <v>19</v>
      </c>
      <c r="C27" s="9">
        <f t="shared" ref="C27:C29" si="17">C26+7</f>
        <v>46153</v>
      </c>
      <c r="E27" s="5">
        <f>May!D8</f>
        <v>19</v>
      </c>
      <c r="F27" s="5">
        <f>May!E8</f>
        <v>19</v>
      </c>
      <c r="G27" s="5">
        <f>May!F8</f>
        <v>19</v>
      </c>
      <c r="H27" s="5">
        <f>May!G8</f>
        <v>19</v>
      </c>
      <c r="I27" s="5">
        <f>May!H8</f>
        <v>19</v>
      </c>
      <c r="J27" s="5">
        <f>May!I8</f>
        <v>19</v>
      </c>
      <c r="K27" s="5">
        <f>May!J8</f>
        <v>19</v>
      </c>
      <c r="L27" s="6">
        <f t="shared" ref="L27:L29" si="18">min(E27:K27)</f>
        <v>19</v>
      </c>
      <c r="M27" s="6">
        <f t="shared" si="16"/>
        <v>19</v>
      </c>
      <c r="N27" s="6"/>
    </row>
    <row r="28">
      <c r="B28" s="7">
        <f t="shared" si="15"/>
        <v>20</v>
      </c>
      <c r="C28" s="9">
        <f t="shared" si="17"/>
        <v>46160</v>
      </c>
      <c r="E28" s="5">
        <f>May!D12</f>
        <v>19</v>
      </c>
      <c r="F28" s="5">
        <f>May!E12</f>
        <v>19</v>
      </c>
      <c r="G28" s="5">
        <f>May!F12</f>
        <v>19</v>
      </c>
      <c r="H28" s="5">
        <f>May!G12</f>
        <v>19</v>
      </c>
      <c r="I28" s="5">
        <f>May!H12</f>
        <v>19</v>
      </c>
      <c r="J28" s="5">
        <f>May!I12</f>
        <v>19</v>
      </c>
      <c r="K28" s="5">
        <f>May!J12</f>
        <v>19</v>
      </c>
      <c r="L28" s="6">
        <f t="shared" si="18"/>
        <v>19</v>
      </c>
      <c r="M28" s="6">
        <f t="shared" si="16"/>
        <v>19</v>
      </c>
      <c r="N28" s="6"/>
    </row>
    <row r="29">
      <c r="B29" s="7">
        <f t="shared" si="15"/>
        <v>21</v>
      </c>
      <c r="C29" s="9">
        <f t="shared" si="17"/>
        <v>46167</v>
      </c>
      <c r="E29" s="5">
        <f>May!D16</f>
        <v>19</v>
      </c>
      <c r="F29" s="5">
        <f>May!E16</f>
        <v>19</v>
      </c>
      <c r="G29" s="5">
        <f>May!F16</f>
        <v>19</v>
      </c>
      <c r="H29" s="5">
        <f>May!G16</f>
        <v>19</v>
      </c>
      <c r="I29" s="5">
        <f>May!H16</f>
        <v>19</v>
      </c>
      <c r="J29" s="5">
        <f>May!I16</f>
        <v>19</v>
      </c>
      <c r="K29" s="5">
        <f>May!J16</f>
        <v>19</v>
      </c>
      <c r="L29" s="6">
        <f t="shared" si="18"/>
        <v>19</v>
      </c>
      <c r="M29" s="6">
        <f t="shared" si="16"/>
        <v>19</v>
      </c>
      <c r="N29" s="6"/>
    </row>
    <row r="30">
      <c r="B30" s="1"/>
      <c r="E30" s="1"/>
      <c r="F30" s="1"/>
      <c r="G30" s="1"/>
      <c r="H30" s="1"/>
      <c r="I30" s="1"/>
      <c r="J30" s="1"/>
      <c r="K30" s="1"/>
      <c r="L30" s="12"/>
      <c r="M30" s="12"/>
      <c r="N30" s="6"/>
    </row>
    <row r="31">
      <c r="A31" s="1" t="str">
        <f>text(C31,"MMMM")</f>
        <v>June</v>
      </c>
      <c r="B31" s="7">
        <f t="shared" ref="B31:B35" si="19">ISOWEEKNUM(C31)-1</f>
        <v>22</v>
      </c>
      <c r="C31" s="9">
        <f>C29+7</f>
        <v>46174</v>
      </c>
      <c r="E31" s="5">
        <f>June!D4</f>
        <v>16.5</v>
      </c>
      <c r="F31" s="5">
        <f>June!E4</f>
        <v>16.5</v>
      </c>
      <c r="G31" s="5">
        <f>June!F4</f>
        <v>16.5</v>
      </c>
      <c r="H31" s="5">
        <f>June!G4</f>
        <v>16.5</v>
      </c>
      <c r="I31" s="5">
        <f>June!H4</f>
        <v>16.5</v>
      </c>
      <c r="J31" s="5">
        <f>June!I4</f>
        <v>16.5</v>
      </c>
      <c r="K31" s="5">
        <f>June!J4</f>
        <v>16.5</v>
      </c>
      <c r="L31" s="6">
        <f t="shared" ref="L31:L35" si="20">min(E31:K31)</f>
        <v>16.5</v>
      </c>
      <c r="M31" s="6">
        <f t="shared" ref="M31:M35" si="21">MAX(E31:K31)</f>
        <v>16.5</v>
      </c>
      <c r="N31" s="6"/>
    </row>
    <row r="32">
      <c r="B32" s="7">
        <f t="shared" si="19"/>
        <v>23</v>
      </c>
      <c r="C32" s="9">
        <f t="shared" ref="C32:C35" si="22">C31+7</f>
        <v>46181</v>
      </c>
      <c r="E32" s="5">
        <f>June!D8</f>
        <v>16.5</v>
      </c>
      <c r="F32" s="5">
        <f>June!E8</f>
        <v>16.5</v>
      </c>
      <c r="G32" s="5">
        <f>June!F8</f>
        <v>16.5</v>
      </c>
      <c r="H32" s="5">
        <f>June!G8</f>
        <v>16.5</v>
      </c>
      <c r="I32" s="5">
        <f>June!H8</f>
        <v>16.5</v>
      </c>
      <c r="J32" s="5">
        <f>June!I8</f>
        <v>16.5</v>
      </c>
      <c r="K32" s="5">
        <f>June!J8</f>
        <v>16.5</v>
      </c>
      <c r="L32" s="6">
        <f t="shared" si="20"/>
        <v>16.5</v>
      </c>
      <c r="M32" s="6">
        <f t="shared" si="21"/>
        <v>16.5</v>
      </c>
    </row>
    <row r="33">
      <c r="B33" s="7">
        <f t="shared" si="19"/>
        <v>24</v>
      </c>
      <c r="C33" s="9">
        <f t="shared" si="22"/>
        <v>46188</v>
      </c>
      <c r="E33" s="5">
        <f>June!D12</f>
        <v>16.5</v>
      </c>
      <c r="F33" s="5">
        <f>June!E12</f>
        <v>16.5</v>
      </c>
      <c r="G33" s="5">
        <f>June!F12</f>
        <v>16.5</v>
      </c>
      <c r="H33" s="5">
        <f>June!G12</f>
        <v>16.5</v>
      </c>
      <c r="I33" s="5">
        <f>June!H12</f>
        <v>16.15714286</v>
      </c>
      <c r="J33" s="5">
        <f>June!I12</f>
        <v>16.15714286</v>
      </c>
      <c r="K33" s="5">
        <f>June!J12</f>
        <v>16.15714286</v>
      </c>
      <c r="L33" s="6">
        <f t="shared" si="20"/>
        <v>16.15714286</v>
      </c>
      <c r="M33" s="6">
        <f t="shared" si="21"/>
        <v>16.5</v>
      </c>
    </row>
    <row r="34">
      <c r="B34" s="7">
        <f t="shared" si="19"/>
        <v>25</v>
      </c>
      <c r="C34" s="9">
        <f t="shared" si="22"/>
        <v>46195</v>
      </c>
      <c r="E34" s="5">
        <f>June!D16</f>
        <v>16.15714286</v>
      </c>
      <c r="F34" s="5">
        <f>June!E16</f>
        <v>16.15714286</v>
      </c>
      <c r="G34" s="5">
        <f>June!F16</f>
        <v>16.15714286</v>
      </c>
      <c r="H34" s="5">
        <f>June!G16</f>
        <v>16.15714286</v>
      </c>
      <c r="I34" s="5">
        <f>June!H16</f>
        <v>16.15714286</v>
      </c>
      <c r="J34" s="5">
        <f>June!I16</f>
        <v>16.15714286</v>
      </c>
      <c r="K34" s="5">
        <f>June!J16</f>
        <v>16.15714286</v>
      </c>
      <c r="L34" s="6">
        <f t="shared" si="20"/>
        <v>16.15714286</v>
      </c>
      <c r="M34" s="6">
        <f t="shared" si="21"/>
        <v>16.15714286</v>
      </c>
    </row>
    <row r="35">
      <c r="B35" s="7">
        <f t="shared" si="19"/>
        <v>26</v>
      </c>
      <c r="C35" s="9">
        <f t="shared" si="22"/>
        <v>46202</v>
      </c>
      <c r="E35" s="5">
        <f>June!D20</f>
        <v>16.15714286</v>
      </c>
      <c r="F35" s="5">
        <f>June!E20</f>
        <v>16.15714286</v>
      </c>
      <c r="G35" s="5">
        <f>June!F20</f>
        <v>16.15714286</v>
      </c>
      <c r="H35" s="5">
        <f>June!G20</f>
        <v>16.15714286</v>
      </c>
      <c r="I35" s="5">
        <f>June!H20</f>
        <v>16.15714286</v>
      </c>
      <c r="J35" s="5">
        <f>June!I20</f>
        <v>16.15714286</v>
      </c>
      <c r="K35" s="5">
        <f>June!J20</f>
        <v>16.15714286</v>
      </c>
      <c r="L35" s="6">
        <f t="shared" si="20"/>
        <v>16.15714286</v>
      </c>
      <c r="M35" s="6">
        <f t="shared" si="21"/>
        <v>16.15714286</v>
      </c>
    </row>
    <row r="37">
      <c r="A37" s="1" t="str">
        <f>text(C37,"MMMM")</f>
        <v>July</v>
      </c>
      <c r="B37" s="7">
        <f t="shared" ref="B37:B40" si="23">ISOWEEKNUM(C37)-1</f>
        <v>27</v>
      </c>
      <c r="C37" s="9">
        <f>C35+7</f>
        <v>46209</v>
      </c>
      <c r="E37" s="5">
        <f>July!D4</f>
        <v>16.15714286</v>
      </c>
      <c r="F37" s="5">
        <f>July!E4</f>
        <v>16.15714286</v>
      </c>
      <c r="G37" s="5">
        <f>July!F4</f>
        <v>16.15714286</v>
      </c>
      <c r="H37" s="5">
        <f>July!G4</f>
        <v>16.15714286</v>
      </c>
      <c r="I37" s="5">
        <f>July!H4</f>
        <v>16.15714286</v>
      </c>
      <c r="J37" s="5">
        <f>July!I4</f>
        <v>16.15714286</v>
      </c>
      <c r="K37" s="5">
        <f>July!J4</f>
        <v>16.15714286</v>
      </c>
      <c r="L37" s="6">
        <f t="shared" ref="L37:L40" si="24">min(E37:K37)</f>
        <v>16.15714286</v>
      </c>
      <c r="M37" s="6">
        <f t="shared" ref="M37:M40" si="25">MAX(E37:K37)</f>
        <v>16.15714286</v>
      </c>
    </row>
    <row r="38">
      <c r="B38" s="7">
        <f t="shared" si="23"/>
        <v>28</v>
      </c>
      <c r="C38" s="9">
        <f t="shared" ref="C38:C40" si="26">C37+7</f>
        <v>46216</v>
      </c>
      <c r="E38" s="5">
        <f>July!D8</f>
        <v>16.15714286</v>
      </c>
      <c r="F38" s="5">
        <f>July!E8</f>
        <v>16.15714286</v>
      </c>
      <c r="G38" s="5">
        <f>July!F8</f>
        <v>16.15714286</v>
      </c>
      <c r="H38" s="5">
        <f>July!G8</f>
        <v>16.15714286</v>
      </c>
      <c r="I38" s="5">
        <f>July!H8</f>
        <v>16.15714286</v>
      </c>
      <c r="J38" s="5">
        <f>July!I8</f>
        <v>16.15714286</v>
      </c>
      <c r="K38" s="5">
        <f>July!J8</f>
        <v>16.15714286</v>
      </c>
      <c r="L38" s="6">
        <f t="shared" si="24"/>
        <v>16.15714286</v>
      </c>
      <c r="M38" s="6">
        <f t="shared" si="25"/>
        <v>16.15714286</v>
      </c>
    </row>
    <row r="39">
      <c r="B39" s="7">
        <f t="shared" si="23"/>
        <v>29</v>
      </c>
      <c r="C39" s="9">
        <f t="shared" si="26"/>
        <v>46223</v>
      </c>
      <c r="E39" s="5">
        <f>July!D12</f>
        <v>16.15714286</v>
      </c>
      <c r="F39" s="5">
        <f>July!E12</f>
        <v>16.15714286</v>
      </c>
      <c r="G39" s="5">
        <f>July!F12</f>
        <v>16.15714286</v>
      </c>
      <c r="H39" s="5">
        <f>July!G12</f>
        <v>16.15714286</v>
      </c>
      <c r="I39" s="5">
        <f>July!H12</f>
        <v>16.15714286</v>
      </c>
      <c r="J39" s="5">
        <f>July!I12</f>
        <v>16.15714286</v>
      </c>
      <c r="K39" s="5">
        <f>July!J12</f>
        <v>16.15714286</v>
      </c>
      <c r="L39" s="6">
        <f t="shared" si="24"/>
        <v>16.15714286</v>
      </c>
      <c r="M39" s="6">
        <f t="shared" si="25"/>
        <v>16.15714286</v>
      </c>
    </row>
    <row r="40">
      <c r="B40" s="7">
        <f t="shared" si="23"/>
        <v>30</v>
      </c>
      <c r="C40" s="9">
        <f t="shared" si="26"/>
        <v>46230</v>
      </c>
      <c r="E40" s="5">
        <f>July!D16</f>
        <v>16.15714286</v>
      </c>
      <c r="F40" s="5">
        <f>July!E16</f>
        <v>16.15714286</v>
      </c>
      <c r="G40" s="5">
        <f>July!F16</f>
        <v>16.15714286</v>
      </c>
      <c r="H40" s="5">
        <f>July!G16</f>
        <v>16.15714286</v>
      </c>
      <c r="I40" s="5">
        <f>July!H16</f>
        <v>16.15714286</v>
      </c>
      <c r="J40" s="5">
        <f>July!I16</f>
        <v>16.15714286</v>
      </c>
      <c r="K40" s="5">
        <f>July!J16</f>
        <v>16.15714286</v>
      </c>
      <c r="L40" s="6">
        <f t="shared" si="24"/>
        <v>16.15714286</v>
      </c>
      <c r="M40" s="6">
        <f t="shared" si="25"/>
        <v>16.15714286</v>
      </c>
    </row>
    <row r="41">
      <c r="B41" s="1"/>
      <c r="E41" s="1"/>
      <c r="F41" s="1"/>
      <c r="G41" s="1"/>
      <c r="H41" s="1"/>
      <c r="I41" s="1"/>
      <c r="J41" s="1"/>
      <c r="K41" s="1"/>
      <c r="L41" s="12"/>
      <c r="M41" s="12"/>
    </row>
    <row r="42">
      <c r="A42" s="1" t="str">
        <f>text(C42,"MMMM")</f>
        <v>August</v>
      </c>
      <c r="B42" s="7">
        <f t="shared" ref="B42:B46" si="27">ISOWEEKNUM(C42)-1</f>
        <v>31</v>
      </c>
      <c r="C42" s="9">
        <f>C40+7</f>
        <v>46237</v>
      </c>
      <c r="E42" s="5">
        <f>August!D4</f>
        <v>16.15714286</v>
      </c>
      <c r="F42" s="5">
        <f>August!E4</f>
        <v>16.15714286</v>
      </c>
      <c r="G42" s="5">
        <f>August!F4</f>
        <v>16.15714286</v>
      </c>
      <c r="H42" s="5">
        <f>August!G4</f>
        <v>16.15714286</v>
      </c>
      <c r="I42" s="5">
        <f>August!H4</f>
        <v>16.15714286</v>
      </c>
      <c r="J42" s="5">
        <f>August!I4</f>
        <v>16.15714286</v>
      </c>
      <c r="K42" s="5">
        <f>August!J4</f>
        <v>16.15714286</v>
      </c>
      <c r="L42" s="6">
        <f t="shared" ref="L42:L46" si="28">min(E42:K42)</f>
        <v>16.15714286</v>
      </c>
      <c r="M42" s="6">
        <f t="shared" ref="M42:M46" si="29">MAX(E42:K42)</f>
        <v>16.15714286</v>
      </c>
    </row>
    <row r="43">
      <c r="B43" s="7">
        <f t="shared" si="27"/>
        <v>32</v>
      </c>
      <c r="C43" s="9">
        <f t="shared" ref="C43:C46" si="30">C42+7</f>
        <v>46244</v>
      </c>
      <c r="E43" s="5">
        <f>August!D8</f>
        <v>16.15714286</v>
      </c>
      <c r="F43" s="5">
        <f>August!E8</f>
        <v>16.15714286</v>
      </c>
      <c r="G43" s="5">
        <f>August!F8</f>
        <v>16.15714286</v>
      </c>
      <c r="H43" s="5">
        <f>August!G8</f>
        <v>16.15714286</v>
      </c>
      <c r="I43" s="5">
        <f>August!H8</f>
        <v>16.15714286</v>
      </c>
      <c r="J43" s="5">
        <f>August!I8</f>
        <v>16.15714286</v>
      </c>
      <c r="K43" s="5">
        <f>August!J8</f>
        <v>16.15714286</v>
      </c>
      <c r="L43" s="6">
        <f t="shared" si="28"/>
        <v>16.15714286</v>
      </c>
      <c r="M43" s="6">
        <f t="shared" si="29"/>
        <v>16.15714286</v>
      </c>
    </row>
    <row r="44">
      <c r="B44" s="7">
        <f t="shared" si="27"/>
        <v>33</v>
      </c>
      <c r="C44" s="9">
        <f t="shared" si="30"/>
        <v>46251</v>
      </c>
      <c r="E44" s="5">
        <f>August!D12</f>
        <v>16.15714286</v>
      </c>
      <c r="F44" s="5">
        <f>August!E12</f>
        <v>16.15714286</v>
      </c>
      <c r="G44" s="5">
        <f>August!F12</f>
        <v>16.15714286</v>
      </c>
      <c r="H44" s="5">
        <f>August!G12</f>
        <v>16.15714286</v>
      </c>
      <c r="I44" s="5">
        <f>August!H12</f>
        <v>16.15714286</v>
      </c>
      <c r="J44" s="5">
        <f>August!I12</f>
        <v>16.15714286</v>
      </c>
      <c r="K44" s="5">
        <f>August!J12</f>
        <v>16.15714286</v>
      </c>
      <c r="L44" s="6">
        <f t="shared" si="28"/>
        <v>16.15714286</v>
      </c>
      <c r="M44" s="6">
        <f t="shared" si="29"/>
        <v>16.15714286</v>
      </c>
    </row>
    <row r="45">
      <c r="B45" s="7">
        <f t="shared" si="27"/>
        <v>34</v>
      </c>
      <c r="C45" s="9">
        <f t="shared" si="30"/>
        <v>46258</v>
      </c>
      <c r="E45" s="5">
        <f>September!D12</f>
        <v>19</v>
      </c>
      <c r="F45" s="5">
        <f>September!E12</f>
        <v>19</v>
      </c>
      <c r="G45" s="5">
        <f>September!F12</f>
        <v>19</v>
      </c>
      <c r="H45" s="5">
        <f>September!G12</f>
        <v>19</v>
      </c>
      <c r="I45" s="5">
        <f>September!H12</f>
        <v>19</v>
      </c>
      <c r="J45" s="5">
        <f>September!I12</f>
        <v>19</v>
      </c>
      <c r="K45" s="5">
        <f>September!J12</f>
        <v>19</v>
      </c>
      <c r="L45" s="6">
        <f t="shared" si="28"/>
        <v>19</v>
      </c>
      <c r="M45" s="6">
        <f t="shared" si="29"/>
        <v>19</v>
      </c>
    </row>
    <row r="46">
      <c r="B46" s="7">
        <f t="shared" si="27"/>
        <v>35</v>
      </c>
      <c r="C46" s="9">
        <f t="shared" si="30"/>
        <v>46265</v>
      </c>
      <c r="E46" s="5">
        <f>August!D8</f>
        <v>16.15714286</v>
      </c>
      <c r="F46" s="5">
        <f>August!E8</f>
        <v>16.15714286</v>
      </c>
      <c r="G46" s="5">
        <f>August!F8</f>
        <v>16.15714286</v>
      </c>
      <c r="H46" s="5">
        <f>August!G8</f>
        <v>16.15714286</v>
      </c>
      <c r="I46" s="5">
        <f>August!H8</f>
        <v>16.15714286</v>
      </c>
      <c r="J46" s="5">
        <f>August!I8</f>
        <v>16.15714286</v>
      </c>
      <c r="K46" s="5">
        <f>August!J8</f>
        <v>16.15714286</v>
      </c>
      <c r="L46" s="6">
        <f t="shared" si="28"/>
        <v>16.15714286</v>
      </c>
      <c r="M46" s="6">
        <f t="shared" si="29"/>
        <v>16.15714286</v>
      </c>
    </row>
    <row r="48">
      <c r="A48" s="1" t="str">
        <f>text(C48,"MMMM")</f>
        <v>September</v>
      </c>
      <c r="B48" s="7">
        <f t="shared" ref="B48:B51" si="31">ISOWEEKNUM(C48)-1</f>
        <v>36</v>
      </c>
      <c r="C48" s="9">
        <f>C46+7</f>
        <v>46272</v>
      </c>
    </row>
    <row r="49">
      <c r="B49" s="7">
        <f t="shared" si="31"/>
        <v>37</v>
      </c>
      <c r="C49" s="9">
        <f t="shared" ref="C49:C51" si="32">C48+7</f>
        <v>46279</v>
      </c>
    </row>
    <row r="50">
      <c r="B50" s="7">
        <f t="shared" si="31"/>
        <v>38</v>
      </c>
      <c r="C50" s="9">
        <f t="shared" si="32"/>
        <v>46286</v>
      </c>
    </row>
    <row r="51">
      <c r="B51" s="7">
        <f t="shared" si="31"/>
        <v>39</v>
      </c>
      <c r="C51" s="9">
        <f t="shared" si="32"/>
        <v>46293</v>
      </c>
    </row>
    <row r="53">
      <c r="A53" s="1" t="str">
        <f>text(C53,"MMMM")</f>
        <v>October</v>
      </c>
      <c r="B53" s="7">
        <f t="shared" ref="B53:B56" si="33">ISOWEEKNUM(C53)-1</f>
        <v>40</v>
      </c>
      <c r="C53" s="9">
        <f>C51+7</f>
        <v>46300</v>
      </c>
    </row>
    <row r="54">
      <c r="B54" s="7">
        <f t="shared" si="33"/>
        <v>41</v>
      </c>
      <c r="C54" s="9">
        <f t="shared" ref="C54:C56" si="34">C53+7</f>
        <v>46307</v>
      </c>
    </row>
    <row r="55">
      <c r="B55" s="7">
        <f t="shared" si="33"/>
        <v>42</v>
      </c>
      <c r="C55" s="9">
        <f t="shared" si="34"/>
        <v>46314</v>
      </c>
    </row>
    <row r="56">
      <c r="B56" s="7">
        <f t="shared" si="33"/>
        <v>43</v>
      </c>
      <c r="C56" s="9">
        <f t="shared" si="34"/>
        <v>46321</v>
      </c>
    </row>
    <row r="58">
      <c r="A58" s="1" t="str">
        <f>text(C58,"MMMM")</f>
        <v>November</v>
      </c>
      <c r="B58" s="7">
        <f t="shared" ref="B58:B62" si="35">ISOWEEKNUM(C58)-1</f>
        <v>44</v>
      </c>
      <c r="C58" s="9">
        <f>C56+7</f>
        <v>46328</v>
      </c>
    </row>
    <row r="59">
      <c r="B59" s="7">
        <f t="shared" si="35"/>
        <v>45</v>
      </c>
      <c r="C59" s="9">
        <f t="shared" ref="C59:C62" si="36">C58+7</f>
        <v>46335</v>
      </c>
    </row>
    <row r="60">
      <c r="B60" s="7">
        <f t="shared" si="35"/>
        <v>46</v>
      </c>
      <c r="C60" s="9">
        <f t="shared" si="36"/>
        <v>46342</v>
      </c>
    </row>
    <row r="61">
      <c r="B61" s="7">
        <f t="shared" si="35"/>
        <v>47</v>
      </c>
      <c r="C61" s="9">
        <f t="shared" si="36"/>
        <v>46349</v>
      </c>
    </row>
    <row r="62">
      <c r="B62" s="7">
        <f t="shared" si="35"/>
        <v>48</v>
      </c>
      <c r="C62" s="9">
        <f t="shared" si="36"/>
        <v>46356</v>
      </c>
    </row>
    <row r="64">
      <c r="A64" s="1" t="str">
        <f>text(C64,"MMMM")</f>
        <v>December</v>
      </c>
      <c r="B64" s="7">
        <f t="shared" ref="B64:B67" si="37">ISOWEEKNUM(C64)-1</f>
        <v>49</v>
      </c>
      <c r="C64" s="9">
        <f>C62+7</f>
        <v>46363</v>
      </c>
    </row>
    <row r="65">
      <c r="B65" s="7">
        <f t="shared" si="37"/>
        <v>50</v>
      </c>
      <c r="C65" s="9">
        <f t="shared" ref="C65:C67" si="38">C64+7</f>
        <v>46370</v>
      </c>
    </row>
    <row r="66">
      <c r="B66" s="7">
        <f t="shared" si="37"/>
        <v>51</v>
      </c>
      <c r="C66" s="9">
        <f t="shared" si="38"/>
        <v>46377</v>
      </c>
    </row>
    <row r="67">
      <c r="B67" s="7">
        <f t="shared" si="37"/>
        <v>52</v>
      </c>
      <c r="C67" s="9">
        <f t="shared" si="38"/>
        <v>46384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January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0">
        <f>'Target-lb'!A4</f>
        <v>46027</v>
      </c>
      <c r="B4" s="1">
        <f>ISOWEEKNUM(A4)-1</f>
        <v>1</v>
      </c>
      <c r="C4" s="6">
        <f>'Your Details'!D5+'Your Details'!E5/14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'Target-st'!C4</f>
        <v>18.875</v>
      </c>
      <c r="R4" s="6">
        <f>K4</f>
        <v>19</v>
      </c>
      <c r="S4" s="6">
        <f>Q4-R4</f>
        <v>-0.125</v>
      </c>
      <c r="T4" s="6">
        <f>S4*14</f>
        <v>-1.75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46034</v>
      </c>
      <c r="B8" s="7">
        <f>B4+1</f>
        <v>2</v>
      </c>
      <c r="C8" s="5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'Target-st'!C5</f>
        <v>18.75</v>
      </c>
      <c r="R8" s="6">
        <f>K8</f>
        <v>19</v>
      </c>
      <c r="S8" s="6">
        <f>Q8-R8</f>
        <v>-0.25</v>
      </c>
      <c r="T8" s="6">
        <f>S8*14</f>
        <v>-3.5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T11" s="6"/>
    </row>
    <row r="12">
      <c r="A12" s="13">
        <f>A8+7</f>
        <v>46041</v>
      </c>
      <c r="B12" s="7">
        <f>B8+1</f>
        <v>3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'Target-st'!C6</f>
        <v>18.625</v>
      </c>
      <c r="R12" s="6">
        <f>K12</f>
        <v>19</v>
      </c>
      <c r="S12" s="6">
        <f>Q12-R12</f>
        <v>-0.375</v>
      </c>
      <c r="T12" s="6">
        <f>S12*14</f>
        <v>-5.25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T13" s="6"/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  <c r="T14" s="6"/>
    </row>
    <row r="15">
      <c r="C15" s="5"/>
      <c r="D15" s="5"/>
      <c r="E15" s="5"/>
      <c r="F15" s="5"/>
      <c r="G15" s="5"/>
      <c r="H15" s="5"/>
      <c r="I15" s="5"/>
      <c r="J15" s="5"/>
      <c r="T15" s="6"/>
    </row>
    <row r="16">
      <c r="A16" s="13">
        <f>A12+7</f>
        <v>46048</v>
      </c>
      <c r="B16" s="7">
        <f>B12+1</f>
        <v>4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'Target-st'!C7</f>
        <v>18.5</v>
      </c>
      <c r="R16" s="6">
        <f>K16</f>
        <v>19</v>
      </c>
      <c r="S16" s="6">
        <f>Q16-R16</f>
        <v>-0.5</v>
      </c>
      <c r="T16" s="6">
        <f>S16*14</f>
        <v>-7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February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0">
        <f>January!A16+7</f>
        <v>46055</v>
      </c>
      <c r="B4" s="1">
        <f>ISOWEEKNUM(A4)-1</f>
        <v>5</v>
      </c>
      <c r="C4" s="6">
        <f>January!J16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'Target-st'!D9</f>
        <v>18.375</v>
      </c>
      <c r="R4" s="6">
        <f>K4</f>
        <v>19</v>
      </c>
      <c r="S4" s="6">
        <f>Q4-R4</f>
        <v>-0.625</v>
      </c>
      <c r="T4" s="6">
        <f>S4*14</f>
        <v>-8.75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46062</v>
      </c>
      <c r="B8" s="7">
        <f>B4+1</f>
        <v>6</v>
      </c>
      <c r="C8" s="5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'Target-st'!D10</f>
        <v>18.25</v>
      </c>
      <c r="R8" s="6">
        <f>K8</f>
        <v>19</v>
      </c>
      <c r="S8" s="6">
        <f>Q8-R8</f>
        <v>-0.75</v>
      </c>
      <c r="T8" s="6">
        <f>S8*14</f>
        <v>-10.5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T11" s="6"/>
    </row>
    <row r="12">
      <c r="A12" s="13">
        <f>A8+7</f>
        <v>46069</v>
      </c>
      <c r="B12" s="7">
        <f>B8+1</f>
        <v>7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'Target-st'!D11</f>
        <v>18.125</v>
      </c>
      <c r="R12" s="6">
        <f>K12</f>
        <v>19</v>
      </c>
      <c r="S12" s="6">
        <f>Q12-R12</f>
        <v>-0.875</v>
      </c>
      <c r="T12" s="6">
        <f>S12*14</f>
        <v>-12.25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T13" s="6"/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  <c r="T14" s="6"/>
    </row>
    <row r="15">
      <c r="C15" s="5"/>
      <c r="D15" s="5"/>
      <c r="E15" s="5"/>
      <c r="F15" s="5"/>
      <c r="G15" s="5"/>
      <c r="H15" s="5"/>
      <c r="I15" s="5"/>
      <c r="J15" s="5"/>
      <c r="T15" s="6"/>
    </row>
    <row r="16">
      <c r="A16" s="13">
        <f>A12+7</f>
        <v>46076</v>
      </c>
      <c r="B16" s="7">
        <f>B12+1</f>
        <v>8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'Target-st'!D12</f>
        <v>18</v>
      </c>
      <c r="R16" s="6">
        <f>K16</f>
        <v>19</v>
      </c>
      <c r="S16" s="6">
        <f>Q16-R16</f>
        <v>-1</v>
      </c>
      <c r="T16" s="6">
        <f>S16*14</f>
        <v>-14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March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0">
        <f>February!A16+7</f>
        <v>46083</v>
      </c>
      <c r="B4" s="1">
        <f>ISOWEEKNUM(A4)-1</f>
        <v>9</v>
      </c>
      <c r="C4" s="6">
        <f>February!J16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'Target-st'!E14</f>
        <v>17.875</v>
      </c>
      <c r="R4" s="6">
        <f>K4</f>
        <v>19</v>
      </c>
      <c r="S4" s="6">
        <f>Q4-R4</f>
        <v>-1.125</v>
      </c>
      <c r="T4" s="6">
        <f>S4*14</f>
        <v>-15.75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46090</v>
      </c>
      <c r="B8" s="7">
        <f>B4+1</f>
        <v>10</v>
      </c>
      <c r="C8" s="5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'Target-st'!E15</f>
        <v>17.75</v>
      </c>
      <c r="R8" s="6">
        <f>K8</f>
        <v>19</v>
      </c>
      <c r="S8" s="6">
        <f>Q8-R8</f>
        <v>-1.25</v>
      </c>
      <c r="T8" s="6">
        <f>S8*14</f>
        <v>-17.5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T11" s="6"/>
    </row>
    <row r="12">
      <c r="A12" s="13">
        <f>A8+7</f>
        <v>46097</v>
      </c>
      <c r="B12" s="7">
        <f>B8+1</f>
        <v>11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'Target-st'!E16</f>
        <v>17.625</v>
      </c>
      <c r="R12" s="6">
        <f>K12</f>
        <v>19</v>
      </c>
      <c r="S12" s="6">
        <f>Q12-R12</f>
        <v>-1.375</v>
      </c>
      <c r="T12" s="6">
        <f>S12*14</f>
        <v>-19.25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T13" s="6"/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  <c r="T14" s="6"/>
    </row>
    <row r="15">
      <c r="C15" s="5"/>
      <c r="D15" s="5"/>
      <c r="E15" s="5"/>
      <c r="F15" s="5"/>
      <c r="G15" s="5"/>
      <c r="H15" s="5"/>
      <c r="I15" s="5"/>
      <c r="J15" s="5"/>
      <c r="T15" s="6"/>
    </row>
    <row r="16">
      <c r="A16" s="13">
        <f>A12+7</f>
        <v>46104</v>
      </c>
      <c r="B16" s="7">
        <f>B12+1</f>
        <v>12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'Target-st'!E17</f>
        <v>17.5</v>
      </c>
      <c r="R16" s="6">
        <f>K16</f>
        <v>19</v>
      </c>
      <c r="S16" s="6">
        <f>Q16-R16</f>
        <v>-1.5</v>
      </c>
      <c r="T16" s="6">
        <f>S16*14</f>
        <v>-21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text(A8,"MMMM")</f>
        <v>April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0">
        <f>March!A16+7</f>
        <v>46111</v>
      </c>
      <c r="B4" s="1">
        <f>ISOWEEKNUM(A4)-1</f>
        <v>13</v>
      </c>
      <c r="C4" s="6">
        <f>March!J16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'Target-st'!F19</f>
        <v>17.625</v>
      </c>
      <c r="R4" s="6">
        <f>K4</f>
        <v>19</v>
      </c>
      <c r="S4" s="6">
        <f>Q4-R4</f>
        <v>-1.375</v>
      </c>
      <c r="T4" s="6">
        <f>S4*14</f>
        <v>-19.25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46118</v>
      </c>
      <c r="B8" s="7">
        <f>B4+1</f>
        <v>14</v>
      </c>
      <c r="C8" s="5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'Target-st'!F20</f>
        <v>17.5</v>
      </c>
      <c r="R8" s="6">
        <f>K8</f>
        <v>19</v>
      </c>
      <c r="S8" s="6">
        <f>Q8-R8</f>
        <v>-1.5</v>
      </c>
      <c r="T8" s="6">
        <f>S8*14</f>
        <v>-21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T11" s="6"/>
    </row>
    <row r="12">
      <c r="A12" s="13">
        <f>A8+7</f>
        <v>46125</v>
      </c>
      <c r="B12" s="7">
        <f>B8+1</f>
        <v>15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'Target-st'!F21</f>
        <v>17.375</v>
      </c>
      <c r="R12" s="6">
        <f>K12</f>
        <v>19</v>
      </c>
      <c r="S12" s="6">
        <f>Q12-R12</f>
        <v>-1.625</v>
      </c>
      <c r="T12" s="6">
        <f>S12*14</f>
        <v>-22.75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T13" s="6"/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  <c r="T14" s="6"/>
    </row>
    <row r="15">
      <c r="C15" s="5"/>
      <c r="D15" s="5"/>
      <c r="E15" s="5"/>
      <c r="F15" s="5"/>
      <c r="G15" s="5"/>
      <c r="H15" s="5"/>
      <c r="I15" s="5"/>
      <c r="J15" s="5"/>
      <c r="T15" s="6"/>
    </row>
    <row r="16">
      <c r="A16" s="13">
        <f>A12+7</f>
        <v>46132</v>
      </c>
      <c r="B16" s="7">
        <f>B12+1</f>
        <v>16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'Target-st'!F22</f>
        <v>17.25</v>
      </c>
      <c r="R16" s="6">
        <f>K16</f>
        <v>19</v>
      </c>
      <c r="S16" s="6">
        <f>Q16-R16</f>
        <v>-1.75</v>
      </c>
      <c r="T16" s="6">
        <f>S16*14</f>
        <v>-24.5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>
        <f>A16+7</f>
        <v>46139</v>
      </c>
      <c r="B20" s="7">
        <f>B16+1</f>
        <v>17</v>
      </c>
      <c r="C20" s="6">
        <f>J16</f>
        <v>19</v>
      </c>
      <c r="D20" s="5">
        <f t="shared" ref="D20:J20" si="13">C20</f>
        <v>19</v>
      </c>
      <c r="E20" s="5">
        <f t="shared" si="13"/>
        <v>19</v>
      </c>
      <c r="F20" s="5">
        <f t="shared" si="13"/>
        <v>19</v>
      </c>
      <c r="G20" s="5">
        <f t="shared" si="13"/>
        <v>19</v>
      </c>
      <c r="H20" s="5">
        <f t="shared" si="13"/>
        <v>19</v>
      </c>
      <c r="I20" s="5">
        <f t="shared" si="13"/>
        <v>19</v>
      </c>
      <c r="J20" s="5">
        <f t="shared" si="13"/>
        <v>19</v>
      </c>
      <c r="K20" s="6">
        <f>min(D20:J20)</f>
        <v>19</v>
      </c>
      <c r="L20" s="6">
        <f>MAX(D20:J20)</f>
        <v>19</v>
      </c>
      <c r="M20" s="6">
        <f>AVERAGE(D20:J20)</f>
        <v>19</v>
      </c>
      <c r="N20" s="6">
        <f>L20-K20</f>
        <v>0</v>
      </c>
      <c r="O20" s="6">
        <f>J20-D20</f>
        <v>0</v>
      </c>
      <c r="P20" s="7">
        <f>O20*14</f>
        <v>0</v>
      </c>
      <c r="Q20" s="6">
        <f>'Target-st'!F23</f>
        <v>17.125</v>
      </c>
      <c r="R20" s="6">
        <f>K20</f>
        <v>19</v>
      </c>
      <c r="S20" s="6">
        <f>Q20-R20</f>
        <v>-1.875</v>
      </c>
      <c r="T20" s="6">
        <f>S20*14</f>
        <v>-26.25</v>
      </c>
    </row>
    <row r="21">
      <c r="D21" s="6">
        <f t="shared" ref="D21:J21" si="14">D20-C20</f>
        <v>0</v>
      </c>
      <c r="E21" s="6">
        <f t="shared" si="14"/>
        <v>0</v>
      </c>
      <c r="F21" s="6">
        <f t="shared" si="14"/>
        <v>0</v>
      </c>
      <c r="G21" s="6">
        <f t="shared" si="14"/>
        <v>0</v>
      </c>
      <c r="H21" s="6">
        <f t="shared" si="14"/>
        <v>0</v>
      </c>
      <c r="I21" s="6">
        <f t="shared" si="14"/>
        <v>0</v>
      </c>
      <c r="J21" s="6">
        <f t="shared" si="14"/>
        <v>0</v>
      </c>
    </row>
    <row r="22">
      <c r="D22" s="7">
        <f t="shared" ref="D22:J22" si="15">D21*14</f>
        <v>0</v>
      </c>
      <c r="E22" s="7">
        <f t="shared" si="15"/>
        <v>0</v>
      </c>
      <c r="F22" s="7">
        <f t="shared" si="15"/>
        <v>0</v>
      </c>
      <c r="G22" s="7">
        <f t="shared" si="15"/>
        <v>0</v>
      </c>
      <c r="H22" s="7">
        <f t="shared" si="15"/>
        <v>0</v>
      </c>
      <c r="I22" s="7">
        <f t="shared" si="15"/>
        <v>0</v>
      </c>
      <c r="J22" s="7">
        <f t="shared" si="15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8 O12 O16 O20">
    <cfRule type="notContainsBlanks" dxfId="2" priority="3">
      <formula>LEN(TRIM(O8))&gt;0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May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April!A20+7</f>
        <v>46146</v>
      </c>
      <c r="B4" s="1">
        <f>ISOWEEKNUM(A4)-1</f>
        <v>18</v>
      </c>
      <c r="C4" s="5">
        <f>April!J20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'Target-st'!G25</f>
        <v>17</v>
      </c>
      <c r="R4" s="6">
        <f>K4</f>
        <v>19</v>
      </c>
      <c r="S4" s="6">
        <f>Q4-R4</f>
        <v>-2</v>
      </c>
      <c r="T4" s="6">
        <f>S4*14</f>
        <v>-28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46153</v>
      </c>
      <c r="B8" s="7">
        <f>B4+1</f>
        <v>19</v>
      </c>
      <c r="C8" s="6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'Target-st'!G26</f>
        <v>16.875</v>
      </c>
      <c r="R8" s="6">
        <f>K8</f>
        <v>19</v>
      </c>
      <c r="S8" s="6">
        <f>Q8-R8</f>
        <v>-2.125</v>
      </c>
      <c r="T8" s="6">
        <f>S8*14</f>
        <v>-29.75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46160</v>
      </c>
      <c r="B12" s="7">
        <f>B8+1</f>
        <v>20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'Target-st'!G27</f>
        <v>16.75</v>
      </c>
      <c r="R12" s="6">
        <f>K12</f>
        <v>19</v>
      </c>
      <c r="S12" s="6">
        <f>Q12-R12</f>
        <v>-2.25</v>
      </c>
      <c r="T12" s="6">
        <f>S12*14</f>
        <v>-31.5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46167</v>
      </c>
      <c r="B16" s="7">
        <f>B12+1</f>
        <v>21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'Target-st'!G28</f>
        <v>16.625</v>
      </c>
      <c r="R16" s="6">
        <f>K16</f>
        <v>19</v>
      </c>
      <c r="S16" s="6">
        <f>Q16-R16</f>
        <v>-2.375</v>
      </c>
      <c r="T16" s="6">
        <f>S16*14</f>
        <v>-33.25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June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May!A16+7</f>
        <v>46174</v>
      </c>
      <c r="B4" s="1">
        <f>ISOWEEKNUM(A4)-1</f>
        <v>22</v>
      </c>
      <c r="C4" s="5">
        <v>16.5</v>
      </c>
      <c r="D4" s="5">
        <f t="shared" ref="D4:J4" si="1">C4</f>
        <v>16.5</v>
      </c>
      <c r="E4" s="5">
        <f t="shared" si="1"/>
        <v>16.5</v>
      </c>
      <c r="F4" s="5">
        <f t="shared" si="1"/>
        <v>16.5</v>
      </c>
      <c r="G4" s="5">
        <f t="shared" si="1"/>
        <v>16.5</v>
      </c>
      <c r="H4" s="5">
        <f t="shared" si="1"/>
        <v>16.5</v>
      </c>
      <c r="I4" s="5">
        <f t="shared" si="1"/>
        <v>16.5</v>
      </c>
      <c r="J4" s="5">
        <f t="shared" si="1"/>
        <v>16.5</v>
      </c>
      <c r="K4" s="6">
        <f>min(D4:J4)</f>
        <v>16.5</v>
      </c>
      <c r="L4" s="6">
        <f>MAX(D4:J4)</f>
        <v>16.5</v>
      </c>
      <c r="M4" s="6">
        <f>AVERAGE(D4:J4)</f>
        <v>16.5</v>
      </c>
      <c r="N4" s="6">
        <f>L4-K4</f>
        <v>0</v>
      </c>
      <c r="O4" s="6">
        <f>J4-D4</f>
        <v>0</v>
      </c>
      <c r="P4" s="7">
        <f>O4*14</f>
        <v>0</v>
      </c>
      <c r="Q4" s="6">
        <f>'Target-st'!H30</f>
        <v>16.5</v>
      </c>
      <c r="R4" s="6">
        <f>K4</f>
        <v>16.5</v>
      </c>
      <c r="S4" s="6">
        <f>Q4-R4</f>
        <v>0</v>
      </c>
      <c r="T4" s="6">
        <f>S4*14</f>
        <v>0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46181</v>
      </c>
      <c r="B8" s="7">
        <f>B4+1</f>
        <v>23</v>
      </c>
      <c r="C8" s="6">
        <f>J4</f>
        <v>16.5</v>
      </c>
      <c r="D8" s="5">
        <f t="shared" ref="D8:J8" si="4">C8</f>
        <v>16.5</v>
      </c>
      <c r="E8" s="5">
        <f t="shared" si="4"/>
        <v>16.5</v>
      </c>
      <c r="F8" s="5">
        <f t="shared" si="4"/>
        <v>16.5</v>
      </c>
      <c r="G8" s="5">
        <f t="shared" si="4"/>
        <v>16.5</v>
      </c>
      <c r="H8" s="5">
        <f t="shared" si="4"/>
        <v>16.5</v>
      </c>
      <c r="I8" s="5">
        <f t="shared" si="4"/>
        <v>16.5</v>
      </c>
      <c r="J8" s="5">
        <f t="shared" si="4"/>
        <v>16.5</v>
      </c>
      <c r="K8" s="6">
        <f>min(D8:J8)</f>
        <v>16.5</v>
      </c>
      <c r="L8" s="6">
        <f>MAX(D8:J8)</f>
        <v>16.5</v>
      </c>
      <c r="M8" s="6">
        <f>AVERAGE(D8:J8)</f>
        <v>16.5</v>
      </c>
      <c r="N8" s="6">
        <f>L8-K8</f>
        <v>0</v>
      </c>
      <c r="O8" s="6">
        <f>J8-D8</f>
        <v>0</v>
      </c>
      <c r="P8" s="7">
        <f>O8*14</f>
        <v>0</v>
      </c>
      <c r="Q8" s="6">
        <f>'Target-st'!H31</f>
        <v>16.375</v>
      </c>
      <c r="R8" s="6">
        <f>K8</f>
        <v>16.5</v>
      </c>
      <c r="S8" s="6">
        <f>Q8-R8</f>
        <v>-0.125</v>
      </c>
      <c r="T8" s="6">
        <f>S8*14</f>
        <v>-1.75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46188</v>
      </c>
      <c r="B12" s="7">
        <f>B8+1</f>
        <v>24</v>
      </c>
      <c r="C12" s="6">
        <f>J8</f>
        <v>16.5</v>
      </c>
      <c r="D12" s="5">
        <f t="shared" ref="D12:G12" si="7">C12</f>
        <v>16.5</v>
      </c>
      <c r="E12" s="5">
        <f t="shared" si="7"/>
        <v>16.5</v>
      </c>
      <c r="F12" s="5">
        <f t="shared" si="7"/>
        <v>16.5</v>
      </c>
      <c r="G12" s="5">
        <f t="shared" si="7"/>
        <v>16.5</v>
      </c>
      <c r="H12" s="5">
        <f>16+2.2/14</f>
        <v>16.15714286</v>
      </c>
      <c r="I12" s="5">
        <f t="shared" ref="I12:J12" si="8">H12</f>
        <v>16.15714286</v>
      </c>
      <c r="J12" s="5">
        <f t="shared" si="8"/>
        <v>16.15714286</v>
      </c>
      <c r="K12" s="6">
        <f>min(D12:J12)</f>
        <v>16.15714286</v>
      </c>
      <c r="L12" s="6">
        <f>MAX(D12:J12)</f>
        <v>16.5</v>
      </c>
      <c r="M12" s="6">
        <f>AVERAGE(D12:J12)</f>
        <v>16.35306122</v>
      </c>
      <c r="N12" s="6">
        <f>L12-K12</f>
        <v>0.3428571429</v>
      </c>
      <c r="O12" s="6">
        <f>J12-D12</f>
        <v>-0.3428571429</v>
      </c>
      <c r="P12" s="7">
        <f>O12*14</f>
        <v>-4.8</v>
      </c>
      <c r="Q12" s="6">
        <f>'Target-st'!H32</f>
        <v>16.25</v>
      </c>
      <c r="R12" s="6">
        <f>K12</f>
        <v>16.15714286</v>
      </c>
      <c r="S12" s="6">
        <f>Q12-R12</f>
        <v>0.09285714286</v>
      </c>
      <c r="T12" s="6">
        <f>S12*14</f>
        <v>1.3</v>
      </c>
    </row>
    <row r="13">
      <c r="D13" s="6">
        <f t="shared" ref="D13:J13" si="9">D12-C12</f>
        <v>0</v>
      </c>
      <c r="E13" s="6">
        <f t="shared" si="9"/>
        <v>0</v>
      </c>
      <c r="F13" s="6">
        <f t="shared" si="9"/>
        <v>0</v>
      </c>
      <c r="G13" s="6">
        <f t="shared" si="9"/>
        <v>0</v>
      </c>
      <c r="H13" s="6">
        <f t="shared" si="9"/>
        <v>-0.3428571429</v>
      </c>
      <c r="I13" s="6">
        <f t="shared" si="9"/>
        <v>0</v>
      </c>
      <c r="J13" s="6">
        <f t="shared" si="9"/>
        <v>0</v>
      </c>
      <c r="Q13" s="6" t="str">
        <f>'Target-st'!G29</f>
        <v/>
      </c>
    </row>
    <row r="14">
      <c r="D14" s="7">
        <f t="shared" ref="D14:J14" si="10">D13*14</f>
        <v>0</v>
      </c>
      <c r="E14" s="7">
        <f t="shared" si="10"/>
        <v>0</v>
      </c>
      <c r="F14" s="7">
        <f t="shared" si="10"/>
        <v>0</v>
      </c>
      <c r="G14" s="7">
        <f t="shared" si="10"/>
        <v>0</v>
      </c>
      <c r="H14" s="7">
        <f t="shared" si="10"/>
        <v>-4.8</v>
      </c>
      <c r="I14" s="7">
        <f t="shared" si="10"/>
        <v>0</v>
      </c>
      <c r="J14" s="7">
        <f t="shared" si="10"/>
        <v>0</v>
      </c>
    </row>
    <row r="16">
      <c r="A16" s="13">
        <f>A12+7</f>
        <v>46195</v>
      </c>
      <c r="B16" s="7">
        <f>B12+1</f>
        <v>25</v>
      </c>
      <c r="C16" s="6">
        <f>J12</f>
        <v>16.15714286</v>
      </c>
      <c r="D16" s="5">
        <f t="shared" ref="D16:J16" si="11">C16</f>
        <v>16.15714286</v>
      </c>
      <c r="E16" s="5">
        <f t="shared" si="11"/>
        <v>16.15714286</v>
      </c>
      <c r="F16" s="5">
        <f t="shared" si="11"/>
        <v>16.15714286</v>
      </c>
      <c r="G16" s="5">
        <f t="shared" si="11"/>
        <v>16.15714286</v>
      </c>
      <c r="H16" s="5">
        <f t="shared" si="11"/>
        <v>16.15714286</v>
      </c>
      <c r="I16" s="5">
        <f t="shared" si="11"/>
        <v>16.15714286</v>
      </c>
      <c r="J16" s="5">
        <f t="shared" si="11"/>
        <v>16.15714286</v>
      </c>
      <c r="K16" s="6">
        <f>min(D16:J16)</f>
        <v>16.15714286</v>
      </c>
      <c r="L16" s="6">
        <f>MAX(D16:J16)</f>
        <v>16.15714286</v>
      </c>
      <c r="M16" s="6">
        <f>AVERAGE(D16:J16)</f>
        <v>16.15714286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'Target-st'!H33</f>
        <v>16.125</v>
      </c>
      <c r="R16" s="6">
        <f>K16</f>
        <v>16.15714286</v>
      </c>
      <c r="S16" s="6">
        <f>Q16-R16</f>
        <v>-0.03214285714</v>
      </c>
      <c r="T16" s="6">
        <f>S16*14</f>
        <v>-0.45</v>
      </c>
    </row>
    <row r="17">
      <c r="D17" s="6">
        <f t="shared" ref="D17:J17" si="12">D16-C16</f>
        <v>0</v>
      </c>
      <c r="E17" s="6">
        <f t="shared" si="12"/>
        <v>0</v>
      </c>
      <c r="F17" s="6">
        <f t="shared" si="12"/>
        <v>0</v>
      </c>
      <c r="G17" s="6">
        <f t="shared" si="12"/>
        <v>0</v>
      </c>
      <c r="H17" s="6">
        <f t="shared" si="12"/>
        <v>0</v>
      </c>
      <c r="I17" s="6">
        <f t="shared" si="12"/>
        <v>0</v>
      </c>
      <c r="J17" s="6">
        <f t="shared" si="12"/>
        <v>0</v>
      </c>
    </row>
    <row r="18">
      <c r="D18" s="7">
        <f t="shared" ref="D18:J18" si="13">D17*14</f>
        <v>0</v>
      </c>
      <c r="E18" s="7">
        <f t="shared" si="13"/>
        <v>0</v>
      </c>
      <c r="F18" s="7">
        <f t="shared" si="13"/>
        <v>0</v>
      </c>
      <c r="G18" s="7">
        <f t="shared" si="13"/>
        <v>0</v>
      </c>
      <c r="H18" s="7">
        <f t="shared" si="13"/>
        <v>0</v>
      </c>
      <c r="I18" s="7">
        <f t="shared" si="13"/>
        <v>0</v>
      </c>
      <c r="J18" s="7">
        <f t="shared" si="13"/>
        <v>0</v>
      </c>
    </row>
    <row r="20">
      <c r="A20" s="13">
        <f>A16+7</f>
        <v>46202</v>
      </c>
      <c r="B20" s="7">
        <f>B16+1</f>
        <v>26</v>
      </c>
      <c r="C20" s="6">
        <f>J16</f>
        <v>16.15714286</v>
      </c>
      <c r="D20" s="5">
        <f t="shared" ref="D20:J20" si="14">C20</f>
        <v>16.15714286</v>
      </c>
      <c r="E20" s="5">
        <f t="shared" si="14"/>
        <v>16.15714286</v>
      </c>
      <c r="F20" s="5">
        <f t="shared" si="14"/>
        <v>16.15714286</v>
      </c>
      <c r="G20" s="5">
        <f t="shared" si="14"/>
        <v>16.15714286</v>
      </c>
      <c r="H20" s="5">
        <f t="shared" si="14"/>
        <v>16.15714286</v>
      </c>
      <c r="I20" s="5">
        <f t="shared" si="14"/>
        <v>16.15714286</v>
      </c>
      <c r="J20" s="5">
        <f t="shared" si="14"/>
        <v>16.15714286</v>
      </c>
      <c r="K20" s="6">
        <f>min(D20:J20)</f>
        <v>16.15714286</v>
      </c>
      <c r="L20" s="6">
        <f>MAX(D20:J20)</f>
        <v>16.15714286</v>
      </c>
      <c r="M20" s="6">
        <f>AVERAGE(D20:J20)</f>
        <v>16.15714286</v>
      </c>
      <c r="N20" s="6">
        <f>L20-K20</f>
        <v>0</v>
      </c>
      <c r="O20" s="6">
        <f>J20-D20</f>
        <v>0</v>
      </c>
      <c r="P20" s="7">
        <f>O20*14</f>
        <v>0</v>
      </c>
      <c r="Q20" s="6">
        <f>'Target-st'!H34</f>
        <v>16</v>
      </c>
      <c r="R20" s="6">
        <f>K20</f>
        <v>16.15714286</v>
      </c>
      <c r="S20" s="6">
        <f>Q20-R20</f>
        <v>-0.1571428571</v>
      </c>
      <c r="T20" s="6">
        <f>S20*14</f>
        <v>-2.2</v>
      </c>
    </row>
    <row r="21">
      <c r="D21" s="6">
        <f t="shared" ref="D21:J21" si="15">D20-C20</f>
        <v>0</v>
      </c>
      <c r="E21" s="6">
        <f t="shared" si="15"/>
        <v>0</v>
      </c>
      <c r="F21" s="6">
        <f t="shared" si="15"/>
        <v>0</v>
      </c>
      <c r="G21" s="6">
        <f t="shared" si="15"/>
        <v>0</v>
      </c>
      <c r="H21" s="6">
        <f t="shared" si="15"/>
        <v>0</v>
      </c>
      <c r="I21" s="6">
        <f t="shared" si="15"/>
        <v>0</v>
      </c>
      <c r="J21" s="6">
        <f t="shared" si="15"/>
        <v>0</v>
      </c>
    </row>
    <row r="22">
      <c r="D22" s="7">
        <f t="shared" ref="D22:J22" si="16">D21*14</f>
        <v>0</v>
      </c>
      <c r="E22" s="7">
        <f t="shared" si="16"/>
        <v>0</v>
      </c>
      <c r="F22" s="7">
        <f t="shared" si="16"/>
        <v>0</v>
      </c>
      <c r="G22" s="7">
        <f t="shared" si="16"/>
        <v>0</v>
      </c>
      <c r="H22" s="7">
        <f t="shared" si="16"/>
        <v>0</v>
      </c>
      <c r="I22" s="7">
        <f t="shared" si="16"/>
        <v>0</v>
      </c>
      <c r="J22" s="7">
        <f t="shared" si="16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July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June!A20+7</f>
        <v>46209</v>
      </c>
      <c r="B4" s="1">
        <f>ISOWEEKNUM(A4)-1</f>
        <v>27</v>
      </c>
      <c r="C4" s="5">
        <f>June!J20</f>
        <v>16.15714286</v>
      </c>
      <c r="D4" s="5">
        <f t="shared" ref="D4:J4" si="1">C4</f>
        <v>16.15714286</v>
      </c>
      <c r="E4" s="5">
        <f t="shared" si="1"/>
        <v>16.15714286</v>
      </c>
      <c r="F4" s="5">
        <f t="shared" si="1"/>
        <v>16.15714286</v>
      </c>
      <c r="G4" s="5">
        <f t="shared" si="1"/>
        <v>16.15714286</v>
      </c>
      <c r="H4" s="5">
        <f t="shared" si="1"/>
        <v>16.15714286</v>
      </c>
      <c r="I4" s="5">
        <f t="shared" si="1"/>
        <v>16.15714286</v>
      </c>
      <c r="J4" s="5">
        <f t="shared" si="1"/>
        <v>16.15714286</v>
      </c>
      <c r="K4" s="6">
        <f>min(D4:J4)</f>
        <v>16.15714286</v>
      </c>
      <c r="L4" s="6">
        <f>MAX(D4:J4)</f>
        <v>16.15714286</v>
      </c>
      <c r="M4" s="6">
        <f>AVERAGE(D4:J4)</f>
        <v>16.15714286</v>
      </c>
      <c r="N4" s="6">
        <f>L4-K4</f>
        <v>0</v>
      </c>
      <c r="O4" s="6">
        <f>J4-D4</f>
        <v>0</v>
      </c>
      <c r="P4" s="7">
        <f>O4*14</f>
        <v>0</v>
      </c>
      <c r="Q4" s="6">
        <f>'Target-st'!I36</f>
        <v>15.875</v>
      </c>
      <c r="R4" s="6">
        <f>K4</f>
        <v>16.15714286</v>
      </c>
      <c r="S4" s="6">
        <f>Q4-R4</f>
        <v>-0.2821428571</v>
      </c>
      <c r="T4" s="6">
        <f>S4*14</f>
        <v>-3.95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46216</v>
      </c>
      <c r="B8" s="7">
        <f>B4+1</f>
        <v>28</v>
      </c>
      <c r="C8" s="6">
        <f>J4</f>
        <v>16.15714286</v>
      </c>
      <c r="D8" s="5">
        <f t="shared" ref="D8:J8" si="4">C8</f>
        <v>16.15714286</v>
      </c>
      <c r="E8" s="5">
        <f t="shared" si="4"/>
        <v>16.15714286</v>
      </c>
      <c r="F8" s="5">
        <f t="shared" si="4"/>
        <v>16.15714286</v>
      </c>
      <c r="G8" s="5">
        <f t="shared" si="4"/>
        <v>16.15714286</v>
      </c>
      <c r="H8" s="5">
        <f t="shared" si="4"/>
        <v>16.15714286</v>
      </c>
      <c r="I8" s="5">
        <f t="shared" si="4"/>
        <v>16.15714286</v>
      </c>
      <c r="J8" s="5">
        <f t="shared" si="4"/>
        <v>16.15714286</v>
      </c>
      <c r="K8" s="6">
        <f>min(D8:J8)</f>
        <v>16.15714286</v>
      </c>
      <c r="L8" s="6">
        <f>MAX(D8:J8)</f>
        <v>16.15714286</v>
      </c>
      <c r="M8" s="6">
        <f>AVERAGE(D8:J8)</f>
        <v>16.15714286</v>
      </c>
      <c r="N8" s="6">
        <f>L8-K8</f>
        <v>0</v>
      </c>
      <c r="O8" s="6">
        <f>J8-D8</f>
        <v>0</v>
      </c>
      <c r="P8" s="7">
        <f>O8*14</f>
        <v>0</v>
      </c>
      <c r="Q8" s="6">
        <f>'Target-st'!I37</f>
        <v>15.75</v>
      </c>
      <c r="R8" s="6">
        <f>K8</f>
        <v>16.15714286</v>
      </c>
      <c r="S8" s="6">
        <f>Q8-R8</f>
        <v>-0.4071428571</v>
      </c>
      <c r="T8" s="6">
        <f>S8*14</f>
        <v>-5.7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46223</v>
      </c>
      <c r="B12" s="7">
        <f>B8+1</f>
        <v>29</v>
      </c>
      <c r="C12" s="6">
        <f>J8</f>
        <v>16.15714286</v>
      </c>
      <c r="D12" s="5">
        <f t="shared" ref="D12:J12" si="7">C12</f>
        <v>16.15714286</v>
      </c>
      <c r="E12" s="5">
        <f t="shared" si="7"/>
        <v>16.15714286</v>
      </c>
      <c r="F12" s="5">
        <f t="shared" si="7"/>
        <v>16.15714286</v>
      </c>
      <c r="G12" s="5">
        <f t="shared" si="7"/>
        <v>16.15714286</v>
      </c>
      <c r="H12" s="5">
        <f t="shared" si="7"/>
        <v>16.15714286</v>
      </c>
      <c r="I12" s="5">
        <f t="shared" si="7"/>
        <v>16.15714286</v>
      </c>
      <c r="J12" s="5">
        <f t="shared" si="7"/>
        <v>16.15714286</v>
      </c>
      <c r="K12" s="6">
        <f>min(D12:J12)</f>
        <v>16.15714286</v>
      </c>
      <c r="L12" s="6">
        <f>MAX(D12:J12)</f>
        <v>16.15714286</v>
      </c>
      <c r="M12" s="6">
        <f>AVERAGE(D12:J12)</f>
        <v>16.15714286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'Target-st'!I38</f>
        <v>15.625</v>
      </c>
      <c r="R12" s="6">
        <f>K12</f>
        <v>16.15714286</v>
      </c>
      <c r="S12" s="6">
        <f>Q12-R12</f>
        <v>-0.5321428571</v>
      </c>
      <c r="T12" s="6">
        <f>S12*14</f>
        <v>-7.45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46230</v>
      </c>
      <c r="B16" s="7">
        <f>B12+1</f>
        <v>30</v>
      </c>
      <c r="C16" s="6">
        <f>J12</f>
        <v>16.15714286</v>
      </c>
      <c r="D16" s="5">
        <f t="shared" ref="D16:J16" si="10">C16</f>
        <v>16.15714286</v>
      </c>
      <c r="E16" s="5">
        <f t="shared" si="10"/>
        <v>16.15714286</v>
      </c>
      <c r="F16" s="5">
        <f t="shared" si="10"/>
        <v>16.15714286</v>
      </c>
      <c r="G16" s="5">
        <f t="shared" si="10"/>
        <v>16.15714286</v>
      </c>
      <c r="H16" s="5">
        <f t="shared" si="10"/>
        <v>16.15714286</v>
      </c>
      <c r="I16" s="5">
        <f t="shared" si="10"/>
        <v>16.15714286</v>
      </c>
      <c r="J16" s="5">
        <f t="shared" si="10"/>
        <v>16.15714286</v>
      </c>
      <c r="K16" s="6">
        <f>min(D16:J16)</f>
        <v>16.15714286</v>
      </c>
      <c r="L16" s="6">
        <f>MAX(D16:J16)</f>
        <v>16.15714286</v>
      </c>
      <c r="M16" s="6">
        <f>AVERAGE(D16:J16)</f>
        <v>16.15714286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'Target-st'!I39</f>
        <v>15.5</v>
      </c>
      <c r="R16" s="6">
        <f>K16</f>
        <v>16.15714286</v>
      </c>
      <c r="S16" s="6">
        <f>Q16-R16</f>
        <v>-0.6571428571</v>
      </c>
      <c r="T16" s="6">
        <f>S16*14</f>
        <v>-9.2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/>
      <c r="D20" s="5"/>
      <c r="E20" s="5"/>
      <c r="F20" s="5"/>
      <c r="G20" s="5"/>
      <c r="H20" s="5"/>
      <c r="I20" s="5"/>
      <c r="J20" s="5"/>
      <c r="M20" s="6"/>
      <c r="S20" s="6"/>
      <c r="T20" s="6"/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August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July!A16+7</f>
        <v>46237</v>
      </c>
      <c r="B4" s="1">
        <f>ISOWEEKNUM(A4)-1</f>
        <v>31</v>
      </c>
      <c r="C4" s="5">
        <f>July!J16</f>
        <v>16.15714286</v>
      </c>
      <c r="D4" s="5">
        <f t="shared" ref="D4:J4" si="1">C4</f>
        <v>16.15714286</v>
      </c>
      <c r="E4" s="5">
        <f t="shared" si="1"/>
        <v>16.15714286</v>
      </c>
      <c r="F4" s="5">
        <f t="shared" si="1"/>
        <v>16.15714286</v>
      </c>
      <c r="G4" s="5">
        <f t="shared" si="1"/>
        <v>16.15714286</v>
      </c>
      <c r="H4" s="5">
        <f t="shared" si="1"/>
        <v>16.15714286</v>
      </c>
      <c r="I4" s="5">
        <f t="shared" si="1"/>
        <v>16.15714286</v>
      </c>
      <c r="J4" s="5">
        <f t="shared" si="1"/>
        <v>16.15714286</v>
      </c>
      <c r="K4" s="6">
        <f>min(D4:J4)</f>
        <v>16.15714286</v>
      </c>
      <c r="L4" s="6">
        <f>MAX(D4:J4)</f>
        <v>16.15714286</v>
      </c>
      <c r="M4" s="6">
        <f>AVERAGE(D4:J4)</f>
        <v>16.15714286</v>
      </c>
      <c r="N4" s="6">
        <f>L4-K4</f>
        <v>0</v>
      </c>
      <c r="O4" s="6">
        <f>J4-D4</f>
        <v>0</v>
      </c>
      <c r="P4" s="7">
        <f>O4*14</f>
        <v>0</v>
      </c>
      <c r="Q4" s="6">
        <f>'Target-st'!J41</f>
        <v>15.375</v>
      </c>
      <c r="R4" s="6">
        <f>K4</f>
        <v>16.15714286</v>
      </c>
      <c r="S4" s="6">
        <f>Q4-R4</f>
        <v>-0.7821428571</v>
      </c>
      <c r="T4" s="6">
        <f>S4*14</f>
        <v>-10.95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46244</v>
      </c>
      <c r="B8" s="7">
        <f>B4+1</f>
        <v>32</v>
      </c>
      <c r="C8" s="6">
        <f>J4</f>
        <v>16.15714286</v>
      </c>
      <c r="D8" s="5">
        <f t="shared" ref="D8:J8" si="4">C8</f>
        <v>16.15714286</v>
      </c>
      <c r="E8" s="5">
        <f t="shared" si="4"/>
        <v>16.15714286</v>
      </c>
      <c r="F8" s="5">
        <f t="shared" si="4"/>
        <v>16.15714286</v>
      </c>
      <c r="G8" s="5">
        <f t="shared" si="4"/>
        <v>16.15714286</v>
      </c>
      <c r="H8" s="5">
        <f t="shared" si="4"/>
        <v>16.15714286</v>
      </c>
      <c r="I8" s="5">
        <f t="shared" si="4"/>
        <v>16.15714286</v>
      </c>
      <c r="J8" s="5">
        <f t="shared" si="4"/>
        <v>16.15714286</v>
      </c>
      <c r="K8" s="6">
        <f>min(D8:J8)</f>
        <v>16.15714286</v>
      </c>
      <c r="L8" s="6">
        <f>MAX(D8:J8)</f>
        <v>16.15714286</v>
      </c>
      <c r="M8" s="6">
        <f>AVERAGE(D8:J8)</f>
        <v>16.15714286</v>
      </c>
      <c r="N8" s="6">
        <f>L8-K8</f>
        <v>0</v>
      </c>
      <c r="O8" s="6">
        <f>J8-D8</f>
        <v>0</v>
      </c>
      <c r="P8" s="7">
        <f>O8*14</f>
        <v>0</v>
      </c>
      <c r="Q8" s="6">
        <f>'Target-st'!J42</f>
        <v>15.25</v>
      </c>
      <c r="R8" s="6">
        <f>K8</f>
        <v>16.15714286</v>
      </c>
      <c r="S8" s="6">
        <f>Q8-R8</f>
        <v>-0.9071428571</v>
      </c>
      <c r="T8" s="6">
        <f>S8*14</f>
        <v>-12.7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46251</v>
      </c>
      <c r="B12" s="7">
        <f>B8+1</f>
        <v>33</v>
      </c>
      <c r="C12" s="6">
        <f>J8</f>
        <v>16.15714286</v>
      </c>
      <c r="D12" s="5">
        <f t="shared" ref="D12:J12" si="7">C12</f>
        <v>16.15714286</v>
      </c>
      <c r="E12" s="5">
        <f t="shared" si="7"/>
        <v>16.15714286</v>
      </c>
      <c r="F12" s="5">
        <f t="shared" si="7"/>
        <v>16.15714286</v>
      </c>
      <c r="G12" s="5">
        <f t="shared" si="7"/>
        <v>16.15714286</v>
      </c>
      <c r="H12" s="5">
        <f t="shared" si="7"/>
        <v>16.15714286</v>
      </c>
      <c r="I12" s="5">
        <f t="shared" si="7"/>
        <v>16.15714286</v>
      </c>
      <c r="J12" s="5">
        <f t="shared" si="7"/>
        <v>16.15714286</v>
      </c>
      <c r="K12" s="6">
        <f>min(D12:J12)</f>
        <v>16.15714286</v>
      </c>
      <c r="L12" s="6">
        <f>MAX(D12:J12)</f>
        <v>16.15714286</v>
      </c>
      <c r="M12" s="6">
        <f>AVERAGE(D12:J12)</f>
        <v>16.15714286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'Target-st'!J43</f>
        <v>15.125</v>
      </c>
      <c r="R12" s="6">
        <f>K12</f>
        <v>16.15714286</v>
      </c>
      <c r="S12" s="6">
        <f>Q12-R12</f>
        <v>-1.032142857</v>
      </c>
      <c r="T12" s="6">
        <f>S12*14</f>
        <v>-14.45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46258</v>
      </c>
      <c r="B16" s="7">
        <f>B12+1</f>
        <v>34</v>
      </c>
      <c r="C16" s="6">
        <f>J12</f>
        <v>16.15714286</v>
      </c>
      <c r="D16" s="5">
        <f t="shared" ref="D16:J16" si="10">C16</f>
        <v>16.15714286</v>
      </c>
      <c r="E16" s="5">
        <f t="shared" si="10"/>
        <v>16.15714286</v>
      </c>
      <c r="F16" s="5">
        <f t="shared" si="10"/>
        <v>16.15714286</v>
      </c>
      <c r="G16" s="5">
        <f t="shared" si="10"/>
        <v>16.15714286</v>
      </c>
      <c r="H16" s="5">
        <f t="shared" si="10"/>
        <v>16.15714286</v>
      </c>
      <c r="I16" s="5">
        <f t="shared" si="10"/>
        <v>16.15714286</v>
      </c>
      <c r="J16" s="5">
        <f t="shared" si="10"/>
        <v>16.15714286</v>
      </c>
      <c r="K16" s="6">
        <f>min(D16:J16)</f>
        <v>16.15714286</v>
      </c>
      <c r="L16" s="6">
        <f>MAX(D16:J16)</f>
        <v>16.15714286</v>
      </c>
      <c r="M16" s="6">
        <f>AVERAGE(D16:J16)</f>
        <v>16.15714286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'Target-st'!J44</f>
        <v>15</v>
      </c>
      <c r="R16" s="6">
        <f>K16</f>
        <v>16.15714286</v>
      </c>
      <c r="S16" s="6">
        <f>Q16-R16</f>
        <v>-1.157142857</v>
      </c>
      <c r="T16" s="6">
        <f>S16*14</f>
        <v>-16.2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19">
      <c r="A19" s="13">
        <f>A16+7</f>
        <v>46265</v>
      </c>
      <c r="B19" s="1">
        <f>ISOWEEKNUM(A19)-1</f>
        <v>35</v>
      </c>
      <c r="C19" s="5">
        <f>April!J20</f>
        <v>19</v>
      </c>
      <c r="D19" s="5">
        <f t="shared" ref="D19:J19" si="13">C19</f>
        <v>19</v>
      </c>
      <c r="E19" s="5">
        <f t="shared" si="13"/>
        <v>19</v>
      </c>
      <c r="F19" s="5">
        <f t="shared" si="13"/>
        <v>19</v>
      </c>
      <c r="G19" s="5">
        <f t="shared" si="13"/>
        <v>19</v>
      </c>
      <c r="H19" s="5">
        <f t="shared" si="13"/>
        <v>19</v>
      </c>
      <c r="I19" s="5">
        <f t="shared" si="13"/>
        <v>19</v>
      </c>
      <c r="J19" s="5">
        <f t="shared" si="13"/>
        <v>19</v>
      </c>
      <c r="K19" s="6">
        <f>min(D19:J19)</f>
        <v>19</v>
      </c>
      <c r="L19" s="6">
        <f>MAX(D19:J19)</f>
        <v>19</v>
      </c>
      <c r="M19" s="6">
        <f>AVERAGE(D19:J19)</f>
        <v>19</v>
      </c>
      <c r="N19" s="6">
        <f>L19-K19</f>
        <v>0</v>
      </c>
      <c r="O19" s="6">
        <f>J19-D19</f>
        <v>0</v>
      </c>
      <c r="P19" s="7">
        <f>O19*14</f>
        <v>0</v>
      </c>
      <c r="Q19" s="6">
        <f>'Target-st'!K50</f>
        <v>14.375</v>
      </c>
      <c r="R19" s="6">
        <f>K19</f>
        <v>19</v>
      </c>
      <c r="S19" s="6">
        <f>Q19-R19</f>
        <v>-4.625</v>
      </c>
      <c r="T19" s="6">
        <f>S19*14</f>
        <v>-64.75</v>
      </c>
    </row>
    <row r="20">
      <c r="D20" s="6">
        <f t="shared" ref="D20:J20" si="14">D19-C19</f>
        <v>0</v>
      </c>
      <c r="E20" s="6">
        <f t="shared" si="14"/>
        <v>0</v>
      </c>
      <c r="F20" s="6">
        <f t="shared" si="14"/>
        <v>0</v>
      </c>
      <c r="G20" s="6">
        <f t="shared" si="14"/>
        <v>0</v>
      </c>
      <c r="H20" s="6">
        <f t="shared" si="14"/>
        <v>0</v>
      </c>
      <c r="I20" s="6">
        <f t="shared" si="14"/>
        <v>0</v>
      </c>
      <c r="J20" s="6">
        <f t="shared" si="14"/>
        <v>0</v>
      </c>
      <c r="T20" s="6"/>
    </row>
    <row r="21">
      <c r="D21" s="7">
        <f t="shared" ref="D21:J21" si="15">D20*14</f>
        <v>0</v>
      </c>
      <c r="E21" s="7">
        <f t="shared" si="15"/>
        <v>0</v>
      </c>
      <c r="F21" s="7">
        <f t="shared" si="15"/>
        <v>0</v>
      </c>
      <c r="G21" s="7">
        <f t="shared" si="15"/>
        <v>0</v>
      </c>
      <c r="H21" s="7">
        <f t="shared" si="15"/>
        <v>0</v>
      </c>
      <c r="I21" s="7">
        <f t="shared" si="15"/>
        <v>0</v>
      </c>
      <c r="J21" s="7">
        <f t="shared" si="15"/>
        <v>0</v>
      </c>
      <c r="T21" s="6"/>
    </row>
  </sheetData>
  <conditionalFormatting sqref="O19">
    <cfRule type="cellIs" dxfId="0" priority="1" operator="greaterThan">
      <formula>0</formula>
    </cfRule>
  </conditionalFormatting>
  <conditionalFormatting sqref="O19">
    <cfRule type="cellIs" dxfId="1" priority="2" operator="lessThan">
      <formula>0</formula>
    </cfRule>
  </conditionalFormatting>
  <conditionalFormatting sqref="O19">
    <cfRule type="notContainsBlanks" dxfId="2" priority="3">
      <formula>LEN(TRIM(O19))&gt;0</formula>
    </cfRule>
  </conditionalFormatting>
  <conditionalFormatting sqref="S19">
    <cfRule type="cellIs" dxfId="3" priority="4" operator="greaterThan">
      <formula>0</formula>
    </cfRule>
  </conditionalFormatting>
  <conditionalFormatting sqref="S19">
    <cfRule type="cellIs" dxfId="3" priority="5" operator="greaterThan">
      <formula>0</formula>
    </cfRule>
  </conditionalFormatting>
  <conditionalFormatting sqref="S19">
    <cfRule type="cellIs" dxfId="4" priority="6" operator="lessThan">
      <formula>0</formula>
    </cfRule>
  </conditionalFormatting>
  <conditionalFormatting sqref="O4 O8 O12 O16">
    <cfRule type="cellIs" dxfId="0" priority="7" operator="greaterThan">
      <formula>0</formula>
    </cfRule>
  </conditionalFormatting>
  <conditionalFormatting sqref="O4 O8 O12 O16">
    <cfRule type="cellIs" dxfId="1" priority="8" operator="lessThan">
      <formula>0</formula>
    </cfRule>
  </conditionalFormatting>
  <conditionalFormatting sqref="O4 O8 O12 O16">
    <cfRule type="notContainsBlanks" dxfId="2" priority="9">
      <formula>LEN(TRIM(O4))&gt;0</formula>
    </cfRule>
  </conditionalFormatting>
  <conditionalFormatting sqref="S4 S8 S12 S16">
    <cfRule type="cellIs" dxfId="3" priority="10" operator="greaterThan">
      <formula>0</formula>
    </cfRule>
  </conditionalFormatting>
  <conditionalFormatting sqref="S4 S8 S12 S16">
    <cfRule type="cellIs" dxfId="3" priority="11" operator="greaterThan">
      <formula>0</formula>
    </cfRule>
  </conditionalFormatting>
  <conditionalFormatting sqref="S4 S8 S12 S16">
    <cfRule type="cellIs" dxfId="4" priority="12" operator="less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September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August!A19+7</f>
        <v>46272</v>
      </c>
      <c r="B4" s="1">
        <f>ISOWEEKNUM(A4)-1</f>
        <v>36</v>
      </c>
      <c r="C4" s="6">
        <f>August!J19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'Target-st'!K47</f>
        <v>14.75</v>
      </c>
      <c r="R4" s="6">
        <f>K4</f>
        <v>19</v>
      </c>
      <c r="S4" s="6">
        <f>Q4-R4</f>
        <v>-4.25</v>
      </c>
      <c r="T4" s="6">
        <f>S4*14</f>
        <v>-59.5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C7" s="5"/>
      <c r="D7" s="5"/>
      <c r="E7" s="5"/>
      <c r="F7" s="5"/>
      <c r="G7" s="5"/>
      <c r="H7" s="5"/>
      <c r="I7" s="5"/>
      <c r="J7" s="5"/>
      <c r="T7" s="6"/>
    </row>
    <row r="8">
      <c r="A8" s="13">
        <f>A4+7</f>
        <v>46279</v>
      </c>
      <c r="B8" s="7">
        <f>B4+1</f>
        <v>37</v>
      </c>
      <c r="C8" s="6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'Target-st'!K48</f>
        <v>14.625</v>
      </c>
      <c r="R8" s="6">
        <f>K8</f>
        <v>19</v>
      </c>
      <c r="S8" s="6">
        <f>Q8-R8</f>
        <v>-4.375</v>
      </c>
      <c r="T8" s="6">
        <f>S8*14</f>
        <v>-61.25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Q9" s="6" t="str">
        <f>'Target-st'!G29</f>
        <v/>
      </c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</row>
    <row r="12">
      <c r="A12" s="13">
        <f>A8+7</f>
        <v>46286</v>
      </c>
      <c r="B12" s="7">
        <f>B8+1</f>
        <v>38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'Target-st'!K49</f>
        <v>14.5</v>
      </c>
      <c r="R12" s="6">
        <f>K12</f>
        <v>19</v>
      </c>
      <c r="S12" s="6">
        <f>Q12-R12</f>
        <v>-4.5</v>
      </c>
      <c r="T12" s="6">
        <f>S12*14</f>
        <v>-63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46293</v>
      </c>
      <c r="B16" s="7">
        <f>B12+1</f>
        <v>39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'Target-st'!K50</f>
        <v>14.375</v>
      </c>
      <c r="R16" s="6">
        <f>K16</f>
        <v>19</v>
      </c>
      <c r="S16" s="6">
        <f>Q16-R16</f>
        <v>-4.625</v>
      </c>
      <c r="T16" s="6">
        <f>S16*14</f>
        <v>-64.75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October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September!A16+7</f>
        <v>46300</v>
      </c>
      <c r="B4" s="1">
        <f>ISOWEEKNUM(A4)-1</f>
        <v>40</v>
      </c>
      <c r="C4" s="6">
        <f>August!J19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'Target-st'!L52</f>
        <v>14.25</v>
      </c>
      <c r="R4" s="6">
        <f>K4</f>
        <v>19</v>
      </c>
      <c r="S4" s="6">
        <f>Q4-R4</f>
        <v>-4.75</v>
      </c>
      <c r="T4" s="6">
        <f>S4*14</f>
        <v>-66.5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C7" s="5"/>
      <c r="D7" s="5"/>
      <c r="E7" s="5"/>
      <c r="F7" s="5"/>
      <c r="G7" s="5"/>
      <c r="H7" s="5"/>
      <c r="I7" s="5"/>
      <c r="J7" s="5"/>
      <c r="T7" s="6"/>
    </row>
    <row r="8">
      <c r="A8" s="13">
        <f>A4+7</f>
        <v>46307</v>
      </c>
      <c r="B8" s="7">
        <f>B4+1</f>
        <v>41</v>
      </c>
      <c r="C8" s="6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'Target-st'!L53</f>
        <v>14.125</v>
      </c>
      <c r="R8" s="6">
        <f>K8</f>
        <v>19</v>
      </c>
      <c r="S8" s="6">
        <f>Q8-R8</f>
        <v>-4.875</v>
      </c>
      <c r="T8" s="6">
        <f>S8*14</f>
        <v>-68.25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Q9" s="6" t="str">
        <f>'Target-st'!G29</f>
        <v/>
      </c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</row>
    <row r="12">
      <c r="A12" s="13">
        <f>A8+7</f>
        <v>46314</v>
      </c>
      <c r="B12" s="7">
        <f>B8+1</f>
        <v>42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'Target-st'!L54</f>
        <v>14</v>
      </c>
      <c r="R12" s="6">
        <f>K12</f>
        <v>19</v>
      </c>
      <c r="S12" s="6">
        <f>Q12-R12</f>
        <v>-5</v>
      </c>
      <c r="T12" s="6">
        <f>S12*14</f>
        <v>-70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46321</v>
      </c>
      <c r="B16" s="7">
        <f>B12+1</f>
        <v>43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'Target-st'!L55</f>
        <v>13.875</v>
      </c>
      <c r="R16" s="6">
        <f>K16</f>
        <v>19</v>
      </c>
      <c r="S16" s="6">
        <f>Q16-R16</f>
        <v>-5.125</v>
      </c>
      <c r="T16" s="6">
        <f>S16*14</f>
        <v>-71.75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November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October!A16+7</f>
        <v>46328</v>
      </c>
      <c r="B4" s="1">
        <f>ISOWEEKNUM(A4)-1</f>
        <v>44</v>
      </c>
      <c r="C4" s="5">
        <f>April!J20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'Target-st'!M57</f>
        <v>13.75</v>
      </c>
      <c r="R4" s="6">
        <f>K4</f>
        <v>19</v>
      </c>
      <c r="S4" s="6">
        <f>Q4-R4</f>
        <v>-5.25</v>
      </c>
      <c r="T4" s="6">
        <f>S4*14</f>
        <v>-73.5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46335</v>
      </c>
      <c r="B8" s="7">
        <f>B4+1</f>
        <v>45</v>
      </c>
      <c r="C8" s="6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'Target-st'!M58</f>
        <v>13.625</v>
      </c>
      <c r="R8" s="6">
        <f>K8</f>
        <v>19</v>
      </c>
      <c r="S8" s="6">
        <f>Q8-R8</f>
        <v>-5.375</v>
      </c>
      <c r="T8" s="6">
        <f>S8*14</f>
        <v>-75.25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46342</v>
      </c>
      <c r="B12" s="7">
        <f>B8+1</f>
        <v>46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'Target-st'!M59</f>
        <v>13.5</v>
      </c>
      <c r="R12" s="6">
        <f>K12</f>
        <v>19</v>
      </c>
      <c r="S12" s="6">
        <f>Q12-R12</f>
        <v>-5.5</v>
      </c>
      <c r="T12" s="6">
        <f>S12*14</f>
        <v>-77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46349</v>
      </c>
      <c r="B16" s="7">
        <f>B12+1</f>
        <v>47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'Target-st'!M60</f>
        <v>13.375</v>
      </c>
      <c r="R16" s="6">
        <f>K16</f>
        <v>19</v>
      </c>
      <c r="S16" s="6">
        <f>Q16-R16</f>
        <v>-5.625</v>
      </c>
      <c r="T16" s="6">
        <f>S16*14</f>
        <v>-78.75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>
        <f>A16+7</f>
        <v>46356</v>
      </c>
      <c r="B20" s="7">
        <f>B16+1</f>
        <v>48</v>
      </c>
      <c r="C20" s="6">
        <f>J16</f>
        <v>19</v>
      </c>
      <c r="D20" s="5">
        <f t="shared" ref="D20:J20" si="13">C20</f>
        <v>19</v>
      </c>
      <c r="E20" s="5">
        <f t="shared" si="13"/>
        <v>19</v>
      </c>
      <c r="F20" s="5">
        <f t="shared" si="13"/>
        <v>19</v>
      </c>
      <c r="G20" s="5">
        <f t="shared" si="13"/>
        <v>19</v>
      </c>
      <c r="H20" s="5">
        <f t="shared" si="13"/>
        <v>19</v>
      </c>
      <c r="I20" s="5">
        <f t="shared" si="13"/>
        <v>19</v>
      </c>
      <c r="J20" s="5">
        <f t="shared" si="13"/>
        <v>19</v>
      </c>
      <c r="K20" s="6">
        <f>min(D20:J20)</f>
        <v>19</v>
      </c>
      <c r="L20" s="6">
        <f>MAX(D20:J20)</f>
        <v>19</v>
      </c>
      <c r="M20" s="6">
        <f>AVERAGE(D20:J20)</f>
        <v>19</v>
      </c>
      <c r="N20" s="6">
        <f>L20-K20</f>
        <v>0</v>
      </c>
      <c r="O20" s="6">
        <f>J20-D20</f>
        <v>0</v>
      </c>
      <c r="P20" s="7">
        <f>O20*14</f>
        <v>0</v>
      </c>
      <c r="Q20" s="6">
        <f>'Target-st'!M61</f>
        <v>13.25</v>
      </c>
      <c r="R20" s="6">
        <f>K20</f>
        <v>19</v>
      </c>
      <c r="S20" s="6">
        <f>Q20-R20</f>
        <v>-5.75</v>
      </c>
      <c r="T20" s="6">
        <f>S20*14</f>
        <v>-80.5</v>
      </c>
    </row>
    <row r="21">
      <c r="D21" s="6">
        <f t="shared" ref="D21:J21" si="14">D20-C20</f>
        <v>0</v>
      </c>
      <c r="E21" s="6">
        <f t="shared" si="14"/>
        <v>0</v>
      </c>
      <c r="F21" s="6">
        <f t="shared" si="14"/>
        <v>0</v>
      </c>
      <c r="G21" s="6">
        <f t="shared" si="14"/>
        <v>0</v>
      </c>
      <c r="H21" s="6">
        <f t="shared" si="14"/>
        <v>0</v>
      </c>
      <c r="I21" s="6">
        <f t="shared" si="14"/>
        <v>0</v>
      </c>
      <c r="J21" s="6">
        <f t="shared" si="14"/>
        <v>0</v>
      </c>
    </row>
    <row r="22">
      <c r="D22" s="7">
        <f t="shared" ref="D22:J22" si="15">D21*14</f>
        <v>0</v>
      </c>
      <c r="E22" s="7">
        <f t="shared" si="15"/>
        <v>0</v>
      </c>
      <c r="F22" s="7">
        <f t="shared" si="15"/>
        <v>0</v>
      </c>
      <c r="G22" s="7">
        <f t="shared" si="15"/>
        <v>0</v>
      </c>
      <c r="H22" s="7">
        <f t="shared" si="15"/>
        <v>0</v>
      </c>
      <c r="I22" s="7">
        <f t="shared" si="15"/>
        <v>0</v>
      </c>
      <c r="J22" s="7">
        <f t="shared" si="15"/>
        <v>0</v>
      </c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December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>
      <c r="G3" s="6"/>
      <c r="M3" s="6"/>
      <c r="P3" s="1"/>
      <c r="R3" s="5"/>
    </row>
    <row r="4">
      <c r="A4" s="13">
        <f>November!A20+7</f>
        <v>46363</v>
      </c>
      <c r="B4" s="1">
        <f>ISOWEEKNUM(A4)-1</f>
        <v>49</v>
      </c>
      <c r="C4" s="5">
        <f>April!J20</f>
        <v>19</v>
      </c>
      <c r="D4" s="5">
        <f t="shared" ref="D4:J4" si="1">C4</f>
        <v>19</v>
      </c>
      <c r="E4" s="5">
        <f t="shared" si="1"/>
        <v>19</v>
      </c>
      <c r="F4" s="5">
        <f t="shared" si="1"/>
        <v>19</v>
      </c>
      <c r="G4" s="5">
        <f t="shared" si="1"/>
        <v>19</v>
      </c>
      <c r="H4" s="5">
        <f t="shared" si="1"/>
        <v>19</v>
      </c>
      <c r="I4" s="5">
        <f t="shared" si="1"/>
        <v>19</v>
      </c>
      <c r="J4" s="5">
        <f t="shared" si="1"/>
        <v>19</v>
      </c>
      <c r="K4" s="6">
        <f>min(D4:J4)</f>
        <v>19</v>
      </c>
      <c r="L4" s="6">
        <f>MAX(D4:J4)</f>
        <v>19</v>
      </c>
      <c r="M4" s="6">
        <f>AVERAGE(D4:J4)</f>
        <v>19</v>
      </c>
      <c r="N4" s="6">
        <f>L4-K4</f>
        <v>0</v>
      </c>
      <c r="O4" s="6">
        <f>J4-D4</f>
        <v>0</v>
      </c>
      <c r="P4" s="7">
        <f>O4*14</f>
        <v>0</v>
      </c>
      <c r="Q4" s="6">
        <f>'Target-st'!N63</f>
        <v>13.125</v>
      </c>
      <c r="R4" s="6">
        <f>K4</f>
        <v>19</v>
      </c>
      <c r="S4" s="6">
        <f>Q4-R4</f>
        <v>-5.875</v>
      </c>
      <c r="T4" s="6">
        <f>S4*14</f>
        <v>-82.25</v>
      </c>
    </row>
    <row r="5">
      <c r="D5" s="6">
        <f t="shared" ref="D5:J5" si="2">D4-C4</f>
        <v>0</v>
      </c>
      <c r="E5" s="6">
        <f t="shared" si="2"/>
        <v>0</v>
      </c>
      <c r="F5" s="6">
        <f t="shared" si="2"/>
        <v>0</v>
      </c>
      <c r="G5" s="6">
        <f t="shared" si="2"/>
        <v>0</v>
      </c>
      <c r="H5" s="6">
        <f t="shared" si="2"/>
        <v>0</v>
      </c>
      <c r="I5" s="6">
        <f t="shared" si="2"/>
        <v>0</v>
      </c>
      <c r="J5" s="6">
        <f t="shared" si="2"/>
        <v>0</v>
      </c>
      <c r="T5" s="6"/>
    </row>
    <row r="6">
      <c r="D6" s="7">
        <f t="shared" ref="D6:J6" si="3">D5*14</f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T6" s="6"/>
    </row>
    <row r="7">
      <c r="T7" s="6"/>
    </row>
    <row r="8">
      <c r="A8" s="13">
        <f>A4+7</f>
        <v>46370</v>
      </c>
      <c r="B8" s="7">
        <f>B4+1</f>
        <v>50</v>
      </c>
      <c r="C8" s="6">
        <f>J4</f>
        <v>19</v>
      </c>
      <c r="D8" s="5">
        <f t="shared" ref="D8:J8" si="4">C8</f>
        <v>19</v>
      </c>
      <c r="E8" s="5">
        <f t="shared" si="4"/>
        <v>19</v>
      </c>
      <c r="F8" s="5">
        <f t="shared" si="4"/>
        <v>19</v>
      </c>
      <c r="G8" s="5">
        <f t="shared" si="4"/>
        <v>19</v>
      </c>
      <c r="H8" s="5">
        <f t="shared" si="4"/>
        <v>19</v>
      </c>
      <c r="I8" s="5">
        <f t="shared" si="4"/>
        <v>19</v>
      </c>
      <c r="J8" s="5">
        <f t="shared" si="4"/>
        <v>19</v>
      </c>
      <c r="K8" s="6">
        <f>min(D8:J8)</f>
        <v>19</v>
      </c>
      <c r="L8" s="6">
        <f>MAX(D8:J8)</f>
        <v>19</v>
      </c>
      <c r="M8" s="6">
        <f>AVERAGE(D8:J8)</f>
        <v>19</v>
      </c>
      <c r="N8" s="6">
        <f>L8-K8</f>
        <v>0</v>
      </c>
      <c r="O8" s="6">
        <f>J8-D8</f>
        <v>0</v>
      </c>
      <c r="P8" s="7">
        <f>O8*14</f>
        <v>0</v>
      </c>
      <c r="Q8" s="6">
        <f>'Target-st'!N64</f>
        <v>13</v>
      </c>
      <c r="R8" s="6">
        <f>K8</f>
        <v>19</v>
      </c>
      <c r="S8" s="6">
        <f>Q8-R8</f>
        <v>-6</v>
      </c>
      <c r="T8" s="6">
        <f>S8*14</f>
        <v>-84</v>
      </c>
    </row>
    <row r="9">
      <c r="D9" s="6">
        <f t="shared" ref="D9:J9" si="5">D8-C8</f>
        <v>0</v>
      </c>
      <c r="E9" s="6">
        <f t="shared" si="5"/>
        <v>0</v>
      </c>
      <c r="F9" s="6">
        <f t="shared" si="5"/>
        <v>0</v>
      </c>
      <c r="G9" s="6">
        <f t="shared" si="5"/>
        <v>0</v>
      </c>
      <c r="H9" s="6">
        <f t="shared" si="5"/>
        <v>0</v>
      </c>
      <c r="I9" s="6">
        <f t="shared" si="5"/>
        <v>0</v>
      </c>
      <c r="J9" s="6">
        <f t="shared" si="5"/>
        <v>0</v>
      </c>
      <c r="T9" s="6"/>
    </row>
    <row r="10">
      <c r="D10" s="7">
        <f t="shared" ref="D10:J10" si="6">D9*14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T10" s="6"/>
    </row>
    <row r="11">
      <c r="C11" s="5"/>
      <c r="D11" s="5"/>
      <c r="E11" s="5"/>
      <c r="F11" s="5"/>
      <c r="G11" s="5"/>
      <c r="H11" s="5"/>
      <c r="I11" s="5"/>
      <c r="J11" s="5"/>
      <c r="T11" s="6"/>
    </row>
    <row r="12">
      <c r="A12" s="13">
        <f>A8+7</f>
        <v>46377</v>
      </c>
      <c r="B12" s="7">
        <f>B8+1</f>
        <v>51</v>
      </c>
      <c r="C12" s="6">
        <f>J8</f>
        <v>19</v>
      </c>
      <c r="D12" s="5">
        <f t="shared" ref="D12:J12" si="7">C12</f>
        <v>19</v>
      </c>
      <c r="E12" s="5">
        <f t="shared" si="7"/>
        <v>19</v>
      </c>
      <c r="F12" s="5">
        <f t="shared" si="7"/>
        <v>19</v>
      </c>
      <c r="G12" s="5">
        <f t="shared" si="7"/>
        <v>19</v>
      </c>
      <c r="H12" s="5">
        <f t="shared" si="7"/>
        <v>19</v>
      </c>
      <c r="I12" s="5">
        <f t="shared" si="7"/>
        <v>19</v>
      </c>
      <c r="J12" s="5">
        <f t="shared" si="7"/>
        <v>19</v>
      </c>
      <c r="K12" s="6">
        <f>min(D12:J12)</f>
        <v>19</v>
      </c>
      <c r="L12" s="6">
        <f>MAX(D12:J12)</f>
        <v>19</v>
      </c>
      <c r="M12" s="6">
        <f>AVERAGE(D12:J12)</f>
        <v>19</v>
      </c>
      <c r="N12" s="6">
        <f>L12-K12</f>
        <v>0</v>
      </c>
      <c r="O12" s="6">
        <f>J12-D12</f>
        <v>0</v>
      </c>
      <c r="P12" s="7">
        <f>O12*14</f>
        <v>0</v>
      </c>
      <c r="Q12" s="6">
        <f>'Target-st'!N65</f>
        <v>12.875</v>
      </c>
      <c r="R12" s="6">
        <f>K12</f>
        <v>19</v>
      </c>
      <c r="S12" s="6">
        <f>Q12-R12</f>
        <v>-6.125</v>
      </c>
      <c r="T12" s="6">
        <f>S12*14</f>
        <v>-85.75</v>
      </c>
    </row>
    <row r="13">
      <c r="D13" s="6">
        <f t="shared" ref="D13:J13" si="8">D12-C12</f>
        <v>0</v>
      </c>
      <c r="E13" s="6">
        <f t="shared" si="8"/>
        <v>0</v>
      </c>
      <c r="F13" s="6">
        <f t="shared" si="8"/>
        <v>0</v>
      </c>
      <c r="G13" s="6">
        <f t="shared" si="8"/>
        <v>0</v>
      </c>
      <c r="H13" s="6">
        <f t="shared" si="8"/>
        <v>0</v>
      </c>
      <c r="I13" s="6">
        <f t="shared" si="8"/>
        <v>0</v>
      </c>
      <c r="J13" s="6">
        <f t="shared" si="8"/>
        <v>0</v>
      </c>
      <c r="Q13" s="6" t="str">
        <f>'Target-st'!G29</f>
        <v/>
      </c>
    </row>
    <row r="14">
      <c r="D14" s="7">
        <f t="shared" ref="D14:J14" si="9">D13*14</f>
        <v>0</v>
      </c>
      <c r="E14" s="7">
        <f t="shared" si="9"/>
        <v>0</v>
      </c>
      <c r="F14" s="7">
        <f t="shared" si="9"/>
        <v>0</v>
      </c>
      <c r="G14" s="7">
        <f t="shared" si="9"/>
        <v>0</v>
      </c>
      <c r="H14" s="7">
        <f t="shared" si="9"/>
        <v>0</v>
      </c>
      <c r="I14" s="7">
        <f t="shared" si="9"/>
        <v>0</v>
      </c>
      <c r="J14" s="7">
        <f t="shared" si="9"/>
        <v>0</v>
      </c>
    </row>
    <row r="16">
      <c r="A16" s="13">
        <f>A12+7</f>
        <v>46384</v>
      </c>
      <c r="B16" s="7">
        <f>B12+1</f>
        <v>52</v>
      </c>
      <c r="C16" s="6">
        <f>J12</f>
        <v>19</v>
      </c>
      <c r="D16" s="5">
        <f t="shared" ref="D16:J16" si="10">C16</f>
        <v>19</v>
      </c>
      <c r="E16" s="5">
        <f t="shared" si="10"/>
        <v>19</v>
      </c>
      <c r="F16" s="5">
        <f t="shared" si="10"/>
        <v>19</v>
      </c>
      <c r="G16" s="5">
        <f t="shared" si="10"/>
        <v>19</v>
      </c>
      <c r="H16" s="5">
        <f t="shared" si="10"/>
        <v>19</v>
      </c>
      <c r="I16" s="5">
        <f t="shared" si="10"/>
        <v>19</v>
      </c>
      <c r="J16" s="5">
        <f t="shared" si="10"/>
        <v>19</v>
      </c>
      <c r="K16" s="6">
        <f>min(D16:J16)</f>
        <v>19</v>
      </c>
      <c r="L16" s="6">
        <f>MAX(D16:J16)</f>
        <v>19</v>
      </c>
      <c r="M16" s="6">
        <f>AVERAGE(D16:J16)</f>
        <v>19</v>
      </c>
      <c r="N16" s="6">
        <f>L16-K16</f>
        <v>0</v>
      </c>
      <c r="O16" s="6">
        <f>J16-D16</f>
        <v>0</v>
      </c>
      <c r="P16" s="7">
        <f>O16*14</f>
        <v>0</v>
      </c>
      <c r="Q16" s="6">
        <f>'Target-st'!N66</f>
        <v>12.75</v>
      </c>
      <c r="R16" s="6">
        <f>K16</f>
        <v>19</v>
      </c>
      <c r="S16" s="6">
        <f>Q16-R16</f>
        <v>-6.25</v>
      </c>
      <c r="T16" s="6">
        <f>S16*14</f>
        <v>-87.5</v>
      </c>
    </row>
    <row r="17">
      <c r="D17" s="6">
        <f t="shared" ref="D17:J17" si="11">D16-C16</f>
        <v>0</v>
      </c>
      <c r="E17" s="6">
        <f t="shared" si="11"/>
        <v>0</v>
      </c>
      <c r="F17" s="6">
        <f t="shared" si="11"/>
        <v>0</v>
      </c>
      <c r="G17" s="6">
        <f t="shared" si="11"/>
        <v>0</v>
      </c>
      <c r="H17" s="6">
        <f t="shared" si="11"/>
        <v>0</v>
      </c>
      <c r="I17" s="6">
        <f t="shared" si="11"/>
        <v>0</v>
      </c>
      <c r="J17" s="6">
        <f t="shared" si="11"/>
        <v>0</v>
      </c>
    </row>
    <row r="18">
      <c r="D18" s="7">
        <f t="shared" ref="D18:J18" si="12">D17*14</f>
        <v>0</v>
      </c>
      <c r="E18" s="7">
        <f t="shared" si="12"/>
        <v>0</v>
      </c>
      <c r="F18" s="7">
        <f t="shared" si="12"/>
        <v>0</v>
      </c>
      <c r="G18" s="7">
        <f t="shared" si="12"/>
        <v>0</v>
      </c>
      <c r="H18" s="7">
        <f t="shared" si="12"/>
        <v>0</v>
      </c>
      <c r="I18" s="7">
        <f t="shared" si="12"/>
        <v>0</v>
      </c>
      <c r="J18" s="7">
        <f t="shared" si="12"/>
        <v>0</v>
      </c>
    </row>
    <row r="20">
      <c r="A20" s="13"/>
      <c r="D20" s="5"/>
      <c r="E20" s="5"/>
      <c r="F20" s="5"/>
      <c r="G20" s="5"/>
      <c r="H20" s="5"/>
      <c r="I20" s="5"/>
      <c r="J20" s="5"/>
      <c r="M20" s="6"/>
      <c r="S20" s="6"/>
      <c r="T20" s="6"/>
    </row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