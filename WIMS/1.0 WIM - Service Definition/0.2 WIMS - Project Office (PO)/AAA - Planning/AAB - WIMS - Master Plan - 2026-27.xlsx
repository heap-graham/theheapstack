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tatus" sheetId="1" r:id="rId5"/>
    <sheet state="visible" name="Key Deliverables - Milestones" sheetId="2" r:id="rId6"/>
    <sheet state="visible" name="Key Deliverables - Milestones -" sheetId="3" r:id="rId7"/>
    <sheet state="visible" name="Project Key" sheetId="4" r:id="rId8"/>
    <sheet state="visible" name="Project Components" sheetId="5" r:id="rId9"/>
    <sheet state="visible" name="Project Weeks (0)" sheetId="6" r:id="rId10"/>
    <sheet state="visible" name="Project Weeks(R)" sheetId="7" r:id="rId11"/>
    <sheet state="visible" name="Project Calendar" sheetId="8" r:id="rId12"/>
    <sheet state="visible" name="Project Weeks (1)" sheetId="9" r:id="rId13"/>
  </sheets>
  <definedNames/>
  <calcPr/>
</workbook>
</file>

<file path=xl/sharedStrings.xml><?xml version="1.0" encoding="utf-8"?>
<sst xmlns="http://schemas.openxmlformats.org/spreadsheetml/2006/main" count="408" uniqueCount="174">
  <si>
    <t>Key</t>
  </si>
  <si>
    <t xml:space="preserve">Milestone </t>
  </si>
  <si>
    <t>Project Name</t>
  </si>
  <si>
    <t xml:space="preserve">Planned Target </t>
  </si>
  <si>
    <t>PD</t>
  </si>
  <si>
    <t xml:space="preserve">Work Streams </t>
  </si>
  <si>
    <t>WC</t>
  </si>
  <si>
    <t xml:space="preserve">Inital MVS Release </t>
  </si>
  <si>
    <t>Component Deliverables</t>
  </si>
  <si>
    <t>CD</t>
  </si>
  <si>
    <t>Baseline Implementaiton Plan</t>
  </si>
  <si>
    <t>Project Action</t>
  </si>
  <si>
    <t xml:space="preserve">Stable WIMS Platform </t>
  </si>
  <si>
    <t>PN</t>
  </si>
  <si>
    <t>Q1</t>
  </si>
  <si>
    <t>September 206</t>
  </si>
  <si>
    <t>Q2</t>
  </si>
  <si>
    <t>Q3</t>
  </si>
  <si>
    <t>Q4</t>
  </si>
  <si>
    <t>Deliverables</t>
  </si>
  <si>
    <t xml:space="preserve">Project </t>
  </si>
  <si>
    <t xml:space="preserve">Project Office </t>
  </si>
  <si>
    <t>PO</t>
  </si>
  <si>
    <t xml:space="preserve">WIMS Book </t>
  </si>
  <si>
    <t>WBK</t>
  </si>
  <si>
    <t>Plan</t>
  </si>
  <si>
    <t>PLN</t>
  </si>
  <si>
    <t xml:space="preserve">Project Control </t>
  </si>
  <si>
    <t>PC</t>
  </si>
  <si>
    <t xml:space="preserve">WIMS Education Platform </t>
  </si>
  <si>
    <t>Articles</t>
  </si>
  <si>
    <t>WEP</t>
  </si>
  <si>
    <t>Reports</t>
  </si>
  <si>
    <t>Presentations</t>
  </si>
  <si>
    <t>Website Content</t>
  </si>
  <si>
    <t>Work Break Down Structure</t>
  </si>
  <si>
    <t>WBS</t>
  </si>
  <si>
    <t>Review</t>
  </si>
  <si>
    <t>Reference Library</t>
  </si>
  <si>
    <t>WIMS SD &amp; I Plan</t>
  </si>
  <si>
    <t>Website Releases</t>
  </si>
  <si>
    <t>YouTube Content</t>
  </si>
  <si>
    <t>PF</t>
  </si>
  <si>
    <t>Social Media</t>
  </si>
  <si>
    <t>Marketing Materials</t>
  </si>
  <si>
    <t>Human Bioliogy Basics</t>
  </si>
  <si>
    <t>HBB</t>
  </si>
  <si>
    <t>Book structure</t>
  </si>
  <si>
    <t>Work Streams</t>
  </si>
  <si>
    <t xml:space="preserve">Draft Chapters </t>
  </si>
  <si>
    <t>Review Versions</t>
  </si>
  <si>
    <t xml:space="preserve">Publication </t>
  </si>
  <si>
    <t>Project Year</t>
  </si>
  <si>
    <t>PY</t>
  </si>
  <si>
    <t>1.0 WIMS Book</t>
  </si>
  <si>
    <t>Human Bioliogy Research</t>
  </si>
  <si>
    <t>HBR</t>
  </si>
  <si>
    <t>Due</t>
  </si>
  <si>
    <t>Project Month</t>
  </si>
  <si>
    <t>PM</t>
  </si>
  <si>
    <t xml:space="preserve">WIMS Education Content </t>
  </si>
  <si>
    <t>2.0 WIMS Educational Platform</t>
  </si>
  <si>
    <t>WEC</t>
  </si>
  <si>
    <t>R1.1</t>
  </si>
  <si>
    <t>R1.2</t>
  </si>
  <si>
    <t>R.3</t>
  </si>
  <si>
    <t>Project Week</t>
  </si>
  <si>
    <t xml:space="preserve">3.0 WIMS Educational Content </t>
  </si>
  <si>
    <t>PW</t>
  </si>
  <si>
    <t>WIMS Practical Theory</t>
  </si>
  <si>
    <t>WPT</t>
  </si>
  <si>
    <t>4.0 WIMS Practical Theory</t>
  </si>
  <si>
    <t>5.0 WIMS Community Engagement</t>
  </si>
  <si>
    <t xml:space="preserve">Totals </t>
  </si>
  <si>
    <t>WCE</t>
  </si>
  <si>
    <t xml:space="preserve">WIMS Community Engagement </t>
  </si>
  <si>
    <t>6.0 WIMS Communications</t>
  </si>
  <si>
    <t>PM01</t>
  </si>
  <si>
    <t>Project Status</t>
  </si>
  <si>
    <t>PS</t>
  </si>
  <si>
    <t>PM02</t>
  </si>
  <si>
    <t>WCM</t>
  </si>
  <si>
    <t>WIMS Communication</t>
  </si>
  <si>
    <t>PM03</t>
  </si>
  <si>
    <t>PM04</t>
  </si>
  <si>
    <t>PM05</t>
  </si>
  <si>
    <t>PM06</t>
  </si>
  <si>
    <t>PM07</t>
  </si>
  <si>
    <t>PM08</t>
  </si>
  <si>
    <t>PM09</t>
  </si>
  <si>
    <t>PM10</t>
  </si>
  <si>
    <t>PM11</t>
  </si>
  <si>
    <t>PM12</t>
  </si>
  <si>
    <t>Project RAIDD</t>
  </si>
  <si>
    <t>Project Risk</t>
  </si>
  <si>
    <t>PR</t>
  </si>
  <si>
    <t xml:space="preserve">Project Assumptions </t>
  </si>
  <si>
    <t>PA</t>
  </si>
  <si>
    <t>Project Quarter</t>
  </si>
  <si>
    <t>Project Week #</t>
  </si>
  <si>
    <t xml:space="preserve">Start </t>
  </si>
  <si>
    <t>End</t>
  </si>
  <si>
    <t>Project Issue</t>
  </si>
  <si>
    <t>PQ1</t>
  </si>
  <si>
    <t>PI</t>
  </si>
  <si>
    <t>PW01</t>
  </si>
  <si>
    <t>Project Definition</t>
  </si>
  <si>
    <t>PW02</t>
  </si>
  <si>
    <t>Start</t>
  </si>
  <si>
    <t>Calandar Month</t>
  </si>
  <si>
    <t>PW03</t>
  </si>
  <si>
    <t xml:space="preserve">Project Dependency </t>
  </si>
  <si>
    <t>PW04</t>
  </si>
  <si>
    <t>PW05</t>
  </si>
  <si>
    <t>PW06</t>
  </si>
  <si>
    <t>Project Decisions</t>
  </si>
  <si>
    <t>PW07</t>
  </si>
  <si>
    <t>PW08</t>
  </si>
  <si>
    <t>Project Park</t>
  </si>
  <si>
    <t>PW09</t>
  </si>
  <si>
    <t>PP</t>
  </si>
  <si>
    <t>PW10</t>
  </si>
  <si>
    <t>PW11</t>
  </si>
  <si>
    <t>Project Code</t>
  </si>
  <si>
    <t>PE</t>
  </si>
  <si>
    <t>PW12</t>
  </si>
  <si>
    <t>PW13</t>
  </si>
  <si>
    <t>PQ2</t>
  </si>
  <si>
    <t>PW14</t>
  </si>
  <si>
    <t>PW15</t>
  </si>
  <si>
    <t>0.0 WIMS Planning</t>
  </si>
  <si>
    <t>PW16</t>
  </si>
  <si>
    <t>PW17</t>
  </si>
  <si>
    <t>PW18</t>
  </si>
  <si>
    <t>PW19</t>
  </si>
  <si>
    <t>PW20</t>
  </si>
  <si>
    <t>PW21</t>
  </si>
  <si>
    <t>PW22</t>
  </si>
  <si>
    <t>PQ3</t>
  </si>
  <si>
    <t>PW23</t>
  </si>
  <si>
    <t>PW24</t>
  </si>
  <si>
    <t>PW25</t>
  </si>
  <si>
    <t>PW26</t>
  </si>
  <si>
    <t>PW27</t>
  </si>
  <si>
    <t>PW28</t>
  </si>
  <si>
    <t>Project Weeks</t>
  </si>
  <si>
    <t>PW29</t>
  </si>
  <si>
    <t>PW30</t>
  </si>
  <si>
    <t>PW31</t>
  </si>
  <si>
    <t>PW35</t>
  </si>
  <si>
    <t>PW40</t>
  </si>
  <si>
    <t>PW44</t>
  </si>
  <si>
    <t>PW49</t>
  </si>
  <si>
    <t>PW32</t>
  </si>
  <si>
    <t>PW33</t>
  </si>
  <si>
    <t>PW36</t>
  </si>
  <si>
    <t>PW34</t>
  </si>
  <si>
    <t>PW41</t>
  </si>
  <si>
    <t>PW45</t>
  </si>
  <si>
    <t>PW50</t>
  </si>
  <si>
    <t>PW37</t>
  </si>
  <si>
    <t>PW42</t>
  </si>
  <si>
    <t>PW46</t>
  </si>
  <si>
    <t>PW51</t>
  </si>
  <si>
    <t>PW38</t>
  </si>
  <si>
    <t>PW43</t>
  </si>
  <si>
    <t>PW47</t>
  </si>
  <si>
    <t>PW52</t>
  </si>
  <si>
    <t>PW39</t>
  </si>
  <si>
    <t>PW48</t>
  </si>
  <si>
    <t>PQ4</t>
  </si>
  <si>
    <t>Cross Check</t>
  </si>
  <si>
    <t xml:space="preserve">Unallocated </t>
  </si>
  <si>
    <t>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</si>
</sst>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m&quot; &quot;yy"/>
    <numFmt numFmtId="166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164" xfId="0" applyAlignment="1" applyBorder="1" applyFont="1" applyNumberFormat="1">
      <alignment readingOrder="0"/>
    </xf>
    <xf borderId="7" fillId="0" fontId="1" numFmtId="0" xfId="0" applyAlignment="1" applyBorder="1" applyFont="1">
      <alignment readingOrder="0"/>
    </xf>
    <xf borderId="2" fillId="0" fontId="2" numFmtId="0" xfId="0" applyBorder="1" applyFont="1"/>
    <xf borderId="6" fillId="0" fontId="2" numFmtId="164" xfId="0" applyAlignment="1" applyBorder="1" applyFont="1" applyNumberFormat="1">
      <alignment horizontal="right" readingOrder="0"/>
    </xf>
    <xf borderId="2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1" numFmtId="0" xfId="0" applyBorder="1" applyFont="1"/>
    <xf borderId="10" fillId="0" fontId="2" numFmtId="0" xfId="0" applyAlignment="1" applyBorder="1" applyFont="1">
      <alignment horizontal="right" readingOrder="0"/>
    </xf>
    <xf borderId="8" fillId="0" fontId="1" numFmtId="0" xfId="0" applyBorder="1" applyFont="1"/>
    <xf borderId="8" fillId="0" fontId="2" numFmtId="0" xfId="0" applyBorder="1" applyFont="1"/>
    <xf borderId="11" fillId="0" fontId="1" numFmtId="0" xfId="0" applyBorder="1" applyFont="1"/>
    <xf borderId="5" fillId="0" fontId="1" numFmtId="165" xfId="0" applyAlignment="1" applyBorder="1" applyFont="1" applyNumberFormat="1">
      <alignment horizontal="left" readingOrder="0" vertical="top"/>
    </xf>
    <xf borderId="12" fillId="0" fontId="1" numFmtId="0" xfId="0" applyAlignment="1" applyBorder="1" applyFont="1">
      <alignment readingOrder="0"/>
    </xf>
    <xf borderId="3" fillId="0" fontId="2" numFmtId="165" xfId="0" applyAlignment="1" applyBorder="1" applyFont="1" applyNumberFormat="1">
      <alignment horizontal="left" readingOrder="0" vertical="top"/>
    </xf>
    <xf borderId="5" fillId="0" fontId="2" numFmtId="0" xfId="0" applyBorder="1" applyFont="1"/>
    <xf borderId="3" fillId="0" fontId="2" numFmtId="165" xfId="0" applyAlignment="1" applyBorder="1" applyFont="1" applyNumberFormat="1">
      <alignment horizontal="left" vertical="top"/>
    </xf>
    <xf borderId="3" fillId="0" fontId="2" numFmtId="0" xfId="0" applyBorder="1" applyFont="1"/>
    <xf borderId="1" fillId="0" fontId="1" numFmtId="165" xfId="0" applyAlignment="1" applyBorder="1" applyFont="1" applyNumberFormat="1">
      <alignment horizontal="left" readingOrder="0" vertical="top"/>
    </xf>
    <xf borderId="13" fillId="0" fontId="2" numFmtId="0" xfId="0" applyBorder="1" applyFont="1"/>
    <xf borderId="6" fillId="0" fontId="2" numFmtId="0" xfId="0" applyBorder="1" applyFont="1"/>
    <xf borderId="0" fillId="0" fontId="2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65" xfId="0" applyAlignment="1" applyBorder="1" applyFont="1" applyNumberFormat="1">
      <alignment horizontal="left" vertical="top"/>
    </xf>
    <xf borderId="13" fillId="0" fontId="2" numFmtId="0" xfId="0" applyAlignment="1" applyBorder="1" applyFont="1">
      <alignment readingOrder="0"/>
    </xf>
    <xf borderId="14" fillId="0" fontId="1" numFmtId="165" xfId="0" applyAlignment="1" applyBorder="1" applyFont="1" applyNumberFormat="1">
      <alignment horizontal="left" vertical="top"/>
    </xf>
    <xf borderId="12" fillId="0" fontId="2" numFmtId="0" xfId="0" applyAlignment="1" applyBorder="1" applyFont="1">
      <alignment readingOrder="0"/>
    </xf>
    <xf borderId="12" fillId="0" fontId="2" numFmtId="0" xfId="0" applyBorder="1" applyFont="1"/>
    <xf borderId="15" fillId="0" fontId="2" numFmtId="0" xfId="0" applyBorder="1" applyFont="1"/>
    <xf borderId="3" fillId="0" fontId="1" numFmtId="165" xfId="0" applyAlignment="1" applyBorder="1" applyFont="1" applyNumberFormat="1">
      <alignment horizontal="left" vertical="top"/>
    </xf>
    <xf borderId="4" fillId="0" fontId="2" numFmtId="0" xfId="0" applyAlignment="1" applyBorder="1" applyFont="1">
      <alignment readingOrder="0"/>
    </xf>
    <xf borderId="12" fillId="0" fontId="2" numFmtId="0" xfId="0" applyAlignment="1" applyBorder="1" applyFont="1">
      <alignment horizontal="right" readingOrder="0"/>
    </xf>
    <xf borderId="15" fillId="0" fontId="2" numFmtId="0" xfId="0" applyAlignment="1" applyBorder="1" applyFont="1">
      <alignment horizontal="right" readingOrder="0"/>
    </xf>
    <xf borderId="4" fillId="0" fontId="2" numFmtId="0" xfId="0" applyAlignment="1" applyBorder="1" applyFont="1">
      <alignment horizontal="right" readingOrder="0"/>
    </xf>
    <xf borderId="2" fillId="0" fontId="1" numFmtId="165" xfId="0" applyAlignment="1" applyBorder="1" applyFont="1" applyNumberFormat="1">
      <alignment horizontal="left" vertical="top"/>
    </xf>
    <xf borderId="12" fillId="0" fontId="1" numFmtId="0" xfId="0" applyBorder="1" applyFont="1"/>
    <xf borderId="8" fillId="0" fontId="1" numFmtId="0" xfId="0" applyAlignment="1" applyBorder="1" applyFont="1">
      <alignment readingOrder="0"/>
    </xf>
    <xf borderId="8" fillId="0" fontId="3" numFmtId="0" xfId="0" applyBorder="1" applyFont="1"/>
    <xf borderId="9" fillId="0" fontId="2" numFmtId="0" xfId="0" applyBorder="1" applyFont="1"/>
    <xf borderId="11" fillId="0" fontId="2" numFmtId="0" xfId="0" applyBorder="1" applyFont="1"/>
    <xf borderId="10" fillId="0" fontId="2" numFmtId="0" xfId="0" applyBorder="1" applyFont="1"/>
    <xf borderId="13" fillId="0" fontId="2" numFmtId="4" xfId="0" applyAlignment="1" applyBorder="1" applyFont="1" applyNumberFormat="1">
      <alignment readingOrder="0"/>
    </xf>
    <xf borderId="5" fillId="0" fontId="2" numFmtId="4" xfId="0" applyAlignment="1" applyBorder="1" applyFont="1" applyNumberFormat="1">
      <alignment readingOrder="0"/>
    </xf>
    <xf borderId="6" fillId="0" fontId="2" numFmtId="4" xfId="0" applyAlignment="1" applyBorder="1" applyFont="1" applyNumberFormat="1">
      <alignment readingOrder="0"/>
    </xf>
    <xf borderId="2" fillId="0" fontId="2" numFmtId="4" xfId="0" applyAlignment="1" applyBorder="1" applyFont="1" applyNumberFormat="1">
      <alignment readingOrder="0"/>
    </xf>
    <xf borderId="0" fillId="0" fontId="2" numFmtId="166" xfId="0" applyAlignment="1" applyFont="1" applyNumberFormat="1">
      <alignment readingOrder="0"/>
    </xf>
    <xf borderId="5" fillId="0" fontId="2" numFmtId="4" xfId="0" applyBorder="1" applyFont="1" applyNumberFormat="1"/>
    <xf borderId="0" fillId="0" fontId="2" numFmtId="166" xfId="0" applyFont="1" applyNumberFormat="1"/>
    <xf borderId="0" fillId="0" fontId="2" numFmtId="4" xfId="0" applyFont="1" applyNumberFormat="1"/>
    <xf borderId="0" fillId="0" fontId="2" numFmtId="0" xfId="0" applyFont="1"/>
    <xf borderId="9" fillId="0" fontId="2" numFmtId="4" xfId="0" applyBorder="1" applyFont="1" applyNumberFormat="1"/>
    <xf borderId="10" fillId="0" fontId="2" numFmtId="4" xfId="0" applyBorder="1" applyFont="1" applyNumberFormat="1"/>
    <xf borderId="8" fillId="0" fontId="2" numFmtId="4" xfId="0" applyBorder="1" applyFont="1" applyNumberFormat="1"/>
    <xf borderId="3" fillId="0" fontId="2" numFmtId="4" xfId="0" applyBorder="1" applyFont="1" applyNumberFormat="1"/>
    <xf borderId="6" fillId="0" fontId="2" numFmtId="4" xfId="0" applyBorder="1" applyFont="1" applyNumberFormat="1"/>
    <xf borderId="13" fillId="0" fontId="2" numFmtId="4" xfId="0" applyBorder="1" applyFont="1" applyNumberFormat="1"/>
    <xf borderId="12" fillId="0" fontId="2" numFmtId="4" xfId="0" applyAlignment="1" applyBorder="1" applyFont="1" applyNumberFormat="1">
      <alignment readingOrder="0"/>
    </xf>
    <xf borderId="4" fillId="0" fontId="2" numFmtId="4" xfId="0" applyAlignment="1" applyBorder="1" applyFont="1" applyNumberFormat="1">
      <alignment readingOrder="0"/>
    </xf>
    <xf borderId="1" fillId="0" fontId="1" numFmtId="0" xfId="0" applyBorder="1" applyFont="1"/>
    <xf borderId="14" fillId="0" fontId="1" numFmtId="0" xfId="0" applyBorder="1" applyFont="1"/>
    <xf borderId="12" fillId="0" fontId="2" numFmtId="4" xfId="0" applyBorder="1" applyFont="1" applyNumberFormat="1"/>
    <xf borderId="7" fillId="0" fontId="1" numFmtId="0" xfId="0" applyBorder="1" applyFont="1"/>
    <xf borderId="2" fillId="0" fontId="2" numFmtId="4" xfId="0" applyBorder="1" applyFont="1" applyNumberFormat="1"/>
    <xf borderId="9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12" fillId="0" fontId="2" numFmtId="4" xfId="0" applyAlignment="1" applyBorder="1" applyFont="1" applyNumberFormat="1">
      <alignment horizontal="right" readingOrder="0"/>
    </xf>
    <xf borderId="2" fillId="0" fontId="2" numFmtId="4" xfId="0" applyAlignment="1" applyBorder="1" applyFont="1" applyNumberFormat="1">
      <alignment horizontal="right" readingOrder="0"/>
    </xf>
    <xf borderId="4" fillId="0" fontId="2" numFmtId="4" xfId="0" applyAlignment="1" applyBorder="1" applyFont="1" applyNumberFormat="1">
      <alignment horizontal="right" readingOrder="0"/>
    </xf>
    <xf borderId="10" fillId="0" fontId="1" numFmtId="0" xfId="0" applyBorder="1" applyFont="1"/>
    <xf borderId="0" fillId="0" fontId="2" numFmtId="0" xfId="0" applyAlignment="1" applyFont="1">
      <alignment readingOrder="0" shrinkToFit="0" wrapText="1"/>
    </xf>
    <xf borderId="15" fillId="0" fontId="1" numFmtId="0" xfId="0" applyAlignment="1" applyBorder="1" applyFont="1">
      <alignment readingOrder="0"/>
    </xf>
    <xf borderId="15" fillId="0" fontId="1" numFmtId="0" xfId="0" applyBorder="1" applyFont="1"/>
    <xf borderId="2" fillId="0" fontId="1" numFmtId="0" xfId="0" applyBorder="1" applyFont="1"/>
    <xf borderId="4" fillId="0" fontId="1" numFmtId="0" xfId="0" applyBorder="1" applyFont="1"/>
    <xf borderId="0" fillId="0" fontId="1" numFmtId="0" xfId="0" applyFont="1"/>
    <xf borderId="3" fillId="0" fontId="2" numFmtId="0" xfId="0" applyAlignment="1" applyBorder="1" applyFont="1">
      <alignment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14" fillId="0" fontId="2" numFmtId="0" xfId="0" applyBorder="1" applyFont="1"/>
    <xf borderId="5" fillId="0" fontId="2" numFmtId="166" xfId="0" applyBorder="1" applyFont="1" applyNumberFormat="1"/>
    <xf borderId="6" fillId="0" fontId="2" numFmtId="166" xfId="0" applyBorder="1" applyFont="1" applyNumberFormat="1"/>
    <xf borderId="11" fillId="0" fontId="2" numFmtId="0" xfId="0" applyAlignment="1" applyBorder="1" applyFont="1">
      <alignment readingOrder="0"/>
    </xf>
    <xf borderId="11" fillId="0" fontId="2" numFmtId="166" xfId="0" applyBorder="1" applyFont="1" applyNumberFormat="1"/>
    <xf borderId="10" fillId="0" fontId="2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3.38"/>
  </cols>
  <sheetData>
    <row r="2">
      <c r="B2" s="3" t="s">
        <v>1</v>
      </c>
      <c r="C2" s="5" t="s">
        <v>3</v>
      </c>
    </row>
    <row r="3">
      <c r="B3" s="6"/>
      <c r="C3" s="7"/>
    </row>
    <row r="4">
      <c r="B4" s="6" t="s">
        <v>7</v>
      </c>
      <c r="C4" s="10">
        <v>46174.0</v>
      </c>
    </row>
    <row r="5">
      <c r="B5" s="6" t="s">
        <v>10</v>
      </c>
      <c r="C5" s="10">
        <v>46204.0</v>
      </c>
    </row>
    <row r="6">
      <c r="B6" s="12" t="s">
        <v>12</v>
      </c>
      <c r="C6" s="14" t="s">
        <v>15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75"/>
    <col customWidth="1" min="2" max="2" width="27.13"/>
    <col customWidth="1" min="3" max="3" width="5.13"/>
    <col customWidth="1" min="4" max="4" width="5.75"/>
    <col customWidth="1" min="5" max="5" width="6.5"/>
    <col customWidth="1" min="6" max="6" width="6.38"/>
    <col customWidth="1" min="7" max="7" width="6.13"/>
    <col customWidth="1" min="8" max="8" width="6.5"/>
    <col customWidth="1" min="9" max="9" width="6.38"/>
    <col customWidth="1" min="10" max="10" width="6.13"/>
    <col customWidth="1" min="11" max="12" width="6.25"/>
    <col customWidth="1" min="13" max="13" width="6.13"/>
    <col customWidth="1" min="14" max="14" width="6.5"/>
    <col customWidth="1" min="15" max="15" width="6.25"/>
    <col customWidth="1" min="16" max="16" width="3.25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B2" s="9"/>
      <c r="C2" s="11" t="s">
        <v>4</v>
      </c>
      <c r="D2" s="11" t="s">
        <v>14</v>
      </c>
      <c r="E2" s="11" t="s">
        <v>14</v>
      </c>
      <c r="F2" s="11" t="s">
        <v>14</v>
      </c>
      <c r="G2" s="11" t="s">
        <v>16</v>
      </c>
      <c r="H2" s="11" t="s">
        <v>16</v>
      </c>
      <c r="I2" s="11" t="s">
        <v>16</v>
      </c>
      <c r="J2" s="11" t="s">
        <v>17</v>
      </c>
      <c r="K2" s="11" t="s">
        <v>17</v>
      </c>
      <c r="L2" s="11" t="s">
        <v>17</v>
      </c>
      <c r="M2" s="11" t="s">
        <v>18</v>
      </c>
      <c r="N2" s="11" t="s">
        <v>18</v>
      </c>
      <c r="O2" s="11" t="s">
        <v>18</v>
      </c>
    </row>
    <row r="3">
      <c r="B3" s="12" t="s">
        <v>19</v>
      </c>
      <c r="C3" s="18"/>
      <c r="D3" s="20">
        <v>46204.0</v>
      </c>
      <c r="E3" s="22">
        <f t="shared" ref="E3:O3" si="1">D3+31</f>
        <v>46235</v>
      </c>
      <c r="F3" s="22">
        <f t="shared" si="1"/>
        <v>46266</v>
      </c>
      <c r="G3" s="22">
        <f t="shared" si="1"/>
        <v>46297</v>
      </c>
      <c r="H3" s="22">
        <f t="shared" si="1"/>
        <v>46328</v>
      </c>
      <c r="I3" s="22">
        <f t="shared" si="1"/>
        <v>46359</v>
      </c>
      <c r="J3" s="22">
        <f t="shared" si="1"/>
        <v>46390</v>
      </c>
      <c r="K3" s="22">
        <f t="shared" si="1"/>
        <v>46421</v>
      </c>
      <c r="L3" s="22">
        <f t="shared" si="1"/>
        <v>46452</v>
      </c>
      <c r="M3" s="22">
        <f t="shared" si="1"/>
        <v>46483</v>
      </c>
      <c r="N3" s="22">
        <f t="shared" si="1"/>
        <v>46514</v>
      </c>
      <c r="O3" s="22">
        <f t="shared" si="1"/>
        <v>46545</v>
      </c>
    </row>
    <row r="4">
      <c r="A4" s="1"/>
      <c r="B4" s="21"/>
      <c r="C4" s="25"/>
      <c r="D4" s="25"/>
      <c r="O4" s="26"/>
    </row>
    <row r="5">
      <c r="A5" s="27"/>
      <c r="B5" s="11" t="s">
        <v>39</v>
      </c>
      <c r="C5" s="11"/>
      <c r="D5" s="11" t="s">
        <v>42</v>
      </c>
      <c r="O5" s="26"/>
    </row>
    <row r="6">
      <c r="A6" s="27"/>
      <c r="B6" s="6"/>
      <c r="C6" s="25"/>
      <c r="D6" s="25"/>
      <c r="O6" s="26"/>
    </row>
    <row r="7">
      <c r="B7" s="28" t="s">
        <v>48</v>
      </c>
      <c r="C7" s="25"/>
      <c r="D7" s="25"/>
      <c r="O7" s="26"/>
    </row>
    <row r="8">
      <c r="B8" s="6"/>
      <c r="C8" s="30"/>
      <c r="D8" s="25"/>
      <c r="O8" s="26"/>
    </row>
    <row r="9">
      <c r="B9" s="11" t="s">
        <v>54</v>
      </c>
      <c r="C9" s="32" t="s">
        <v>24</v>
      </c>
      <c r="D9" s="33"/>
      <c r="E9" s="34"/>
      <c r="F9" s="34"/>
      <c r="G9" s="34"/>
      <c r="H9" s="34"/>
      <c r="I9" s="34"/>
      <c r="J9" s="34"/>
      <c r="K9" s="34"/>
      <c r="L9" s="34"/>
      <c r="M9" s="34"/>
      <c r="N9" s="34"/>
      <c r="O9" s="36" t="s">
        <v>57</v>
      </c>
    </row>
    <row r="10">
      <c r="B10" s="6"/>
      <c r="C10" s="30"/>
      <c r="D10" s="25"/>
      <c r="O10" s="26"/>
    </row>
    <row r="11">
      <c r="B11" s="11" t="s">
        <v>61</v>
      </c>
      <c r="C11" s="32" t="s">
        <v>31</v>
      </c>
      <c r="D11" s="37" t="s">
        <v>63</v>
      </c>
      <c r="E11" s="38" t="s">
        <v>64</v>
      </c>
      <c r="F11" s="39" t="s">
        <v>65</v>
      </c>
      <c r="O11" s="26"/>
    </row>
    <row r="12">
      <c r="B12" s="6"/>
      <c r="C12" s="30"/>
      <c r="D12" s="25"/>
      <c r="O12" s="26"/>
    </row>
    <row r="13">
      <c r="B13" s="6" t="s">
        <v>67</v>
      </c>
      <c r="C13" s="30" t="s">
        <v>62</v>
      </c>
      <c r="D13" s="25"/>
      <c r="E13" s="27" t="s">
        <v>36</v>
      </c>
      <c r="F13" s="27" t="s">
        <v>36</v>
      </c>
      <c r="O13" s="26"/>
    </row>
    <row r="14">
      <c r="B14" s="6"/>
      <c r="C14" s="30"/>
      <c r="D14" s="30"/>
      <c r="O14" s="26"/>
    </row>
    <row r="15">
      <c r="B15" s="6" t="s">
        <v>71</v>
      </c>
      <c r="C15" s="30" t="s">
        <v>70</v>
      </c>
      <c r="D15" s="30"/>
      <c r="O15" s="26"/>
    </row>
    <row r="16">
      <c r="B16" s="6"/>
      <c r="C16" s="30"/>
      <c r="D16" s="25"/>
      <c r="O16" s="26"/>
    </row>
    <row r="17">
      <c r="B17" s="6" t="s">
        <v>72</v>
      </c>
      <c r="C17" s="30" t="s">
        <v>74</v>
      </c>
      <c r="D17" s="25"/>
      <c r="O17" s="26"/>
    </row>
    <row r="18">
      <c r="B18" s="6"/>
      <c r="C18" s="30"/>
      <c r="D18" s="25"/>
      <c r="O18" s="26"/>
    </row>
    <row r="19">
      <c r="B19" s="6" t="s">
        <v>76</v>
      </c>
      <c r="C19" s="30" t="s">
        <v>81</v>
      </c>
      <c r="D19" s="25"/>
      <c r="O19" s="26"/>
    </row>
    <row r="20">
      <c r="B20" s="43"/>
      <c r="C20" s="44"/>
      <c r="D20" s="44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5.75"/>
    <col customWidth="1" min="3" max="3" width="27.13"/>
    <col customWidth="1" min="4" max="4" width="5.13"/>
    <col customWidth="1" min="5" max="5" width="5.75"/>
    <col customWidth="1" min="6" max="6" width="6.5"/>
    <col customWidth="1" min="7" max="7" width="6.38"/>
    <col customWidth="1" min="8" max="8" width="6.13"/>
    <col customWidth="1" min="9" max="9" width="6.5"/>
    <col customWidth="1" min="10" max="10" width="6.38"/>
    <col customWidth="1" min="11" max="11" width="6.13"/>
    <col customWidth="1" min="12" max="13" width="6.25"/>
    <col customWidth="1" min="14" max="14" width="6.13"/>
    <col customWidth="1" min="15" max="15" width="6.5"/>
    <col customWidth="1" min="16" max="16" width="6.25"/>
    <col customWidth="1" min="17" max="18" width="13.63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C2" s="9"/>
      <c r="D2" s="3" t="s">
        <v>4</v>
      </c>
      <c r="E2" s="19" t="s">
        <v>14</v>
      </c>
      <c r="F2" s="4" t="s">
        <v>14</v>
      </c>
      <c r="G2" s="5" t="s">
        <v>14</v>
      </c>
      <c r="H2" s="3" t="s">
        <v>16</v>
      </c>
      <c r="I2" s="3" t="s">
        <v>16</v>
      </c>
      <c r="J2" s="3" t="s">
        <v>16</v>
      </c>
      <c r="K2" s="3" t="s">
        <v>17</v>
      </c>
      <c r="L2" s="3" t="s">
        <v>17</v>
      </c>
      <c r="M2" s="3" t="s">
        <v>17</v>
      </c>
      <c r="N2" s="3" t="s">
        <v>18</v>
      </c>
      <c r="O2" s="3" t="s">
        <v>18</v>
      </c>
      <c r="P2" s="3" t="s">
        <v>18</v>
      </c>
      <c r="Q2" s="23"/>
    </row>
    <row r="3">
      <c r="C3" s="12" t="s">
        <v>19</v>
      </c>
      <c r="D3" s="18"/>
      <c r="E3" s="24">
        <v>46204.0</v>
      </c>
      <c r="F3" s="29">
        <f t="shared" ref="F3:P3" si="1">E3+31</f>
        <v>46235</v>
      </c>
      <c r="G3" s="31">
        <f t="shared" si="1"/>
        <v>46266</v>
      </c>
      <c r="H3" s="35">
        <f t="shared" si="1"/>
        <v>46297</v>
      </c>
      <c r="I3" s="35">
        <f t="shared" si="1"/>
        <v>46328</v>
      </c>
      <c r="J3" s="35">
        <f t="shared" si="1"/>
        <v>46359</v>
      </c>
      <c r="K3" s="35">
        <f t="shared" si="1"/>
        <v>46390</v>
      </c>
      <c r="L3" s="35">
        <f t="shared" si="1"/>
        <v>46421</v>
      </c>
      <c r="M3" s="35">
        <f t="shared" si="1"/>
        <v>46452</v>
      </c>
      <c r="N3" s="35">
        <f t="shared" si="1"/>
        <v>46483</v>
      </c>
      <c r="O3" s="40">
        <f t="shared" si="1"/>
        <v>46514</v>
      </c>
      <c r="P3" s="35">
        <f t="shared" si="1"/>
        <v>46545</v>
      </c>
      <c r="Q3" s="28" t="s">
        <v>73</v>
      </c>
      <c r="R3" s="27"/>
    </row>
    <row r="4">
      <c r="A4" s="1"/>
      <c r="B4" s="1" t="s">
        <v>59</v>
      </c>
      <c r="C4" s="9"/>
      <c r="D4" s="41"/>
      <c r="E4" s="19" t="s">
        <v>77</v>
      </c>
      <c r="F4" s="42" t="s">
        <v>80</v>
      </c>
      <c r="G4" s="5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16"/>
    </row>
    <row r="5">
      <c r="A5" s="1"/>
      <c r="B5" s="1" t="s">
        <v>68</v>
      </c>
      <c r="C5" s="21"/>
      <c r="D5" s="25"/>
      <c r="E5" s="47">
        <v>4.0</v>
      </c>
      <c r="F5" s="48">
        <v>5.0</v>
      </c>
      <c r="G5" s="49">
        <v>4.0</v>
      </c>
      <c r="H5" s="48">
        <v>4.0</v>
      </c>
      <c r="I5" s="48">
        <v>5.0</v>
      </c>
      <c r="J5" s="48">
        <v>4.0</v>
      </c>
      <c r="K5" s="48">
        <v>4.0</v>
      </c>
      <c r="L5" s="48">
        <v>4.0</v>
      </c>
      <c r="M5" s="48">
        <v>5.0</v>
      </c>
      <c r="N5" s="48">
        <v>4.0</v>
      </c>
      <c r="O5" s="50">
        <v>5.0</v>
      </c>
      <c r="P5" s="48">
        <v>4.0</v>
      </c>
      <c r="Q5" s="52">
        <f t="shared" ref="Q5:Q6" si="3">SUM(E5:P5)</f>
        <v>52</v>
      </c>
      <c r="R5" s="54"/>
    </row>
    <row r="6">
      <c r="A6" s="1"/>
      <c r="B6" s="1" t="s">
        <v>4</v>
      </c>
      <c r="C6" s="16"/>
      <c r="D6" s="44"/>
      <c r="E6" s="56">
        <f t="shared" ref="E6:P6" si="2">E5*5</f>
        <v>20</v>
      </c>
      <c r="F6" s="52">
        <f t="shared" si="2"/>
        <v>25</v>
      </c>
      <c r="G6" s="57">
        <f t="shared" si="2"/>
        <v>20</v>
      </c>
      <c r="H6" s="58">
        <f t="shared" si="2"/>
        <v>20</v>
      </c>
      <c r="I6" s="58">
        <f t="shared" si="2"/>
        <v>25</v>
      </c>
      <c r="J6" s="58">
        <f t="shared" si="2"/>
        <v>20</v>
      </c>
      <c r="K6" s="58">
        <f t="shared" si="2"/>
        <v>20</v>
      </c>
      <c r="L6" s="58">
        <f t="shared" si="2"/>
        <v>20</v>
      </c>
      <c r="M6" s="58">
        <f t="shared" si="2"/>
        <v>25</v>
      </c>
      <c r="N6" s="58">
        <f t="shared" si="2"/>
        <v>20</v>
      </c>
      <c r="O6" s="59">
        <f t="shared" si="2"/>
        <v>25</v>
      </c>
      <c r="P6" s="58">
        <f t="shared" si="2"/>
        <v>20</v>
      </c>
      <c r="Q6" s="52">
        <f t="shared" si="3"/>
        <v>260</v>
      </c>
      <c r="R6" s="54"/>
    </row>
    <row r="7">
      <c r="A7" s="27"/>
      <c r="B7" s="27"/>
      <c r="C7" s="6"/>
      <c r="D7" s="30"/>
      <c r="E7" s="47"/>
      <c r="F7" s="52"/>
      <c r="G7" s="60"/>
      <c r="H7" s="52"/>
      <c r="I7" s="52"/>
      <c r="J7" s="52"/>
      <c r="K7" s="52"/>
      <c r="L7" s="52"/>
      <c r="M7" s="52"/>
      <c r="N7" s="61"/>
      <c r="O7" s="52"/>
      <c r="P7" s="60"/>
      <c r="Q7" s="52"/>
      <c r="R7" s="54"/>
    </row>
    <row r="8">
      <c r="A8" s="27"/>
      <c r="B8" s="27"/>
      <c r="C8" s="11" t="s">
        <v>39</v>
      </c>
      <c r="D8" s="11"/>
      <c r="E8" s="62">
        <v>0.0</v>
      </c>
      <c r="F8" s="52"/>
      <c r="G8" s="60"/>
      <c r="H8" s="52"/>
      <c r="I8" s="52"/>
      <c r="J8" s="52"/>
      <c r="K8" s="52"/>
      <c r="L8" s="52"/>
      <c r="M8" s="52"/>
      <c r="N8" s="61"/>
      <c r="O8" s="52"/>
      <c r="P8" s="60"/>
      <c r="Q8" s="52"/>
      <c r="R8" s="54"/>
    </row>
    <row r="9">
      <c r="A9" s="27"/>
      <c r="B9" s="27"/>
      <c r="C9" s="6"/>
      <c r="D9" s="25"/>
      <c r="E9" s="61"/>
      <c r="F9" s="52"/>
      <c r="G9" s="60"/>
      <c r="H9" s="52"/>
      <c r="I9" s="52"/>
      <c r="J9" s="52"/>
      <c r="K9" s="52"/>
      <c r="L9" s="52"/>
      <c r="M9" s="52"/>
      <c r="N9" s="61"/>
      <c r="O9" s="52"/>
      <c r="P9" s="60"/>
      <c r="Q9" s="52"/>
      <c r="R9" s="54"/>
    </row>
    <row r="10">
      <c r="C10" s="28" t="s">
        <v>48</v>
      </c>
      <c r="D10" s="25"/>
      <c r="E10" s="61"/>
      <c r="F10" s="52"/>
      <c r="G10" s="60"/>
      <c r="H10" s="52"/>
      <c r="I10" s="52"/>
      <c r="J10" s="52"/>
      <c r="K10" s="52"/>
      <c r="L10" s="52"/>
      <c r="M10" s="52"/>
      <c r="N10" s="61"/>
      <c r="O10" s="52"/>
      <c r="P10" s="60"/>
      <c r="Q10" s="52"/>
      <c r="R10" s="54"/>
    </row>
    <row r="11">
      <c r="C11" s="6"/>
      <c r="D11" s="30"/>
      <c r="E11" s="61"/>
      <c r="F11" s="52"/>
      <c r="G11" s="60"/>
      <c r="H11" s="52"/>
      <c r="I11" s="52"/>
      <c r="J11" s="52"/>
      <c r="K11" s="52"/>
      <c r="L11" s="52"/>
      <c r="M11" s="52"/>
      <c r="N11" s="61"/>
      <c r="O11" s="52"/>
      <c r="P11" s="60"/>
      <c r="Q11" s="52"/>
      <c r="R11" s="54"/>
    </row>
    <row r="12">
      <c r="C12" s="6" t="s">
        <v>130</v>
      </c>
      <c r="D12" s="32" t="s">
        <v>26</v>
      </c>
      <c r="E12" s="62">
        <v>4.0</v>
      </c>
      <c r="F12" s="50">
        <v>5.0</v>
      </c>
      <c r="G12" s="63">
        <v>4.0</v>
      </c>
      <c r="H12" s="50">
        <v>4.0</v>
      </c>
      <c r="I12" s="50">
        <v>5.0</v>
      </c>
      <c r="J12" s="50">
        <v>4.0</v>
      </c>
      <c r="K12" s="50">
        <v>4.0</v>
      </c>
      <c r="L12" s="50">
        <v>4.0</v>
      </c>
      <c r="M12" s="50">
        <v>5.0</v>
      </c>
      <c r="N12" s="50">
        <v>5.0</v>
      </c>
      <c r="O12" s="50">
        <v>5.0</v>
      </c>
      <c r="P12" s="50">
        <v>4.0</v>
      </c>
      <c r="Q12" s="52">
        <f>SUM(E12:P12)</f>
        <v>53</v>
      </c>
      <c r="R12" s="54"/>
    </row>
    <row r="13">
      <c r="C13" s="6"/>
      <c r="D13" s="30"/>
      <c r="E13" s="61"/>
      <c r="F13" s="52"/>
      <c r="G13" s="60"/>
      <c r="H13" s="52"/>
      <c r="I13" s="52"/>
      <c r="J13" s="52"/>
      <c r="K13" s="52"/>
      <c r="L13" s="52"/>
      <c r="M13" s="52"/>
      <c r="N13" s="61"/>
      <c r="O13" s="52"/>
      <c r="P13" s="49"/>
      <c r="Q13" s="52"/>
      <c r="R13" s="54"/>
    </row>
    <row r="14">
      <c r="C14" s="11" t="s">
        <v>54</v>
      </c>
      <c r="D14" s="32" t="s">
        <v>24</v>
      </c>
      <c r="E14" s="66"/>
      <c r="F14" s="50">
        <v>0.75</v>
      </c>
      <c r="G14" s="63">
        <v>0.75</v>
      </c>
      <c r="H14" s="68">
        <f t="shared" ref="H14:P14" si="4">H6*0.2</f>
        <v>4</v>
      </c>
      <c r="I14" s="68">
        <f t="shared" si="4"/>
        <v>5</v>
      </c>
      <c r="J14" s="68">
        <f t="shared" si="4"/>
        <v>4</v>
      </c>
      <c r="K14" s="68">
        <f t="shared" si="4"/>
        <v>4</v>
      </c>
      <c r="L14" s="68">
        <f t="shared" si="4"/>
        <v>4</v>
      </c>
      <c r="M14" s="68">
        <f t="shared" si="4"/>
        <v>5</v>
      </c>
      <c r="N14" s="68">
        <f t="shared" si="4"/>
        <v>4</v>
      </c>
      <c r="O14" s="68">
        <f t="shared" si="4"/>
        <v>5</v>
      </c>
      <c r="P14" s="68">
        <f t="shared" si="4"/>
        <v>4</v>
      </c>
      <c r="Q14" s="52">
        <f>SUM(E14:P14)</f>
        <v>40.5</v>
      </c>
      <c r="R14" s="54"/>
    </row>
    <row r="15">
      <c r="C15" s="6"/>
      <c r="D15" s="30"/>
      <c r="E15" s="61"/>
      <c r="F15" s="52"/>
      <c r="G15" s="60"/>
      <c r="H15" s="52"/>
      <c r="I15" s="52"/>
      <c r="J15" s="52"/>
      <c r="K15" s="52"/>
      <c r="L15" s="52"/>
      <c r="M15" s="52"/>
      <c r="N15" s="52"/>
      <c r="O15" s="58"/>
      <c r="P15" s="52"/>
      <c r="Q15" s="52"/>
      <c r="R15" s="54"/>
    </row>
    <row r="16">
      <c r="C16" s="11" t="s">
        <v>61</v>
      </c>
      <c r="D16" s="32" t="s">
        <v>31</v>
      </c>
      <c r="E16" s="73">
        <f>E6*0.6</f>
        <v>12</v>
      </c>
      <c r="F16" s="74">
        <f>F6*0.6+0.75</f>
        <v>15.75</v>
      </c>
      <c r="G16" s="75">
        <f>G6*0.6+0.25</f>
        <v>12.25</v>
      </c>
      <c r="H16" s="50">
        <v>1.0</v>
      </c>
      <c r="I16" s="50">
        <v>1.0</v>
      </c>
      <c r="J16" s="50">
        <v>1.0</v>
      </c>
      <c r="K16" s="50">
        <v>1.0</v>
      </c>
      <c r="L16" s="50">
        <v>1.0</v>
      </c>
      <c r="M16" s="50">
        <v>1.0</v>
      </c>
      <c r="N16" s="50">
        <v>1.0</v>
      </c>
      <c r="O16" s="50">
        <v>1.0</v>
      </c>
      <c r="P16" s="50">
        <v>1.0</v>
      </c>
      <c r="Q16" s="52">
        <f>SUM(E16:P16)</f>
        <v>49</v>
      </c>
      <c r="R16" s="54"/>
    </row>
    <row r="17">
      <c r="C17" s="6"/>
      <c r="D17" s="30"/>
      <c r="E17" s="61"/>
      <c r="F17" s="52"/>
      <c r="G17" s="60"/>
      <c r="H17" s="52"/>
      <c r="I17" s="52"/>
      <c r="J17" s="52"/>
      <c r="K17" s="52"/>
      <c r="L17" s="52"/>
      <c r="M17" s="52"/>
      <c r="N17" s="61"/>
      <c r="O17" s="52"/>
      <c r="P17" s="60"/>
      <c r="Q17" s="52"/>
      <c r="R17" s="54"/>
    </row>
    <row r="18">
      <c r="C18" s="6" t="s">
        <v>67</v>
      </c>
      <c r="D18" s="30" t="s">
        <v>62</v>
      </c>
      <c r="E18" s="47">
        <v>4.0</v>
      </c>
      <c r="F18" s="48">
        <v>0.75</v>
      </c>
      <c r="G18" s="49">
        <v>0.75</v>
      </c>
      <c r="H18" s="48">
        <v>4.0</v>
      </c>
      <c r="I18" s="48">
        <v>5.0</v>
      </c>
      <c r="J18" s="48">
        <v>4.0</v>
      </c>
      <c r="K18" s="48">
        <v>4.0</v>
      </c>
      <c r="L18" s="48">
        <v>4.0</v>
      </c>
      <c r="M18" s="48">
        <v>5.0</v>
      </c>
      <c r="N18" s="47">
        <v>4.0</v>
      </c>
      <c r="O18" s="48">
        <v>5.0</v>
      </c>
      <c r="P18" s="50">
        <v>1.0</v>
      </c>
      <c r="Q18" s="52">
        <f>SUM(E18:P18)</f>
        <v>41.5</v>
      </c>
      <c r="R18" s="54"/>
    </row>
    <row r="19">
      <c r="C19" s="6"/>
      <c r="D19" s="30"/>
      <c r="E19" s="47"/>
      <c r="F19" s="52"/>
      <c r="G19" s="60"/>
      <c r="H19" s="52"/>
      <c r="I19" s="52"/>
      <c r="J19" s="52"/>
      <c r="K19" s="52"/>
      <c r="L19" s="52"/>
      <c r="M19" s="52"/>
      <c r="N19" s="61"/>
      <c r="O19" s="52"/>
      <c r="P19" s="60"/>
      <c r="Q19" s="52"/>
      <c r="R19" s="54"/>
    </row>
    <row r="20">
      <c r="C20" s="6" t="s">
        <v>71</v>
      </c>
      <c r="D20" s="30" t="s">
        <v>70</v>
      </c>
      <c r="E20" s="47"/>
      <c r="F20" s="48">
        <v>0.75</v>
      </c>
      <c r="G20" s="49">
        <v>0.75</v>
      </c>
      <c r="H20" s="48">
        <v>2.0</v>
      </c>
      <c r="I20" s="48">
        <v>2.5</v>
      </c>
      <c r="J20" s="48">
        <v>2.0</v>
      </c>
      <c r="K20" s="48">
        <v>2.0</v>
      </c>
      <c r="L20" s="48">
        <v>2.0</v>
      </c>
      <c r="M20" s="48">
        <v>2.5</v>
      </c>
      <c r="N20" s="47">
        <v>2.0</v>
      </c>
      <c r="O20" s="48">
        <v>2.5</v>
      </c>
      <c r="P20" s="49">
        <v>2.0</v>
      </c>
      <c r="Q20" s="52">
        <f>SUM(E20:P20)</f>
        <v>21</v>
      </c>
      <c r="R20" s="54"/>
    </row>
    <row r="21">
      <c r="C21" s="6"/>
      <c r="D21" s="30"/>
      <c r="E21" s="61"/>
      <c r="F21" s="52"/>
      <c r="G21" s="60"/>
      <c r="H21" s="52"/>
      <c r="I21" s="52"/>
      <c r="J21" s="52"/>
      <c r="K21" s="52"/>
      <c r="L21" s="52"/>
      <c r="M21" s="52"/>
      <c r="N21" s="61"/>
      <c r="O21" s="52"/>
      <c r="P21" s="60"/>
      <c r="Q21" s="52"/>
      <c r="R21" s="54"/>
    </row>
    <row r="22">
      <c r="C22" s="6" t="s">
        <v>72</v>
      </c>
      <c r="D22" s="30" t="s">
        <v>74</v>
      </c>
      <c r="E22" s="61"/>
      <c r="F22" s="48">
        <v>0.75</v>
      </c>
      <c r="G22" s="49">
        <v>0.75</v>
      </c>
      <c r="H22" s="48">
        <v>2.0</v>
      </c>
      <c r="I22" s="48">
        <v>2.5</v>
      </c>
      <c r="J22" s="48">
        <v>2.0</v>
      </c>
      <c r="K22" s="48">
        <v>2.0</v>
      </c>
      <c r="L22" s="48">
        <v>2.0</v>
      </c>
      <c r="M22" s="48">
        <v>2.5</v>
      </c>
      <c r="N22" s="47">
        <v>2.0</v>
      </c>
      <c r="O22" s="48">
        <v>2.5</v>
      </c>
      <c r="P22" s="49">
        <v>2.0</v>
      </c>
      <c r="Q22" s="52">
        <f>SUM(E22:P22)</f>
        <v>21</v>
      </c>
      <c r="R22" s="54"/>
    </row>
    <row r="23">
      <c r="C23" s="6"/>
      <c r="D23" s="30"/>
      <c r="E23" s="61"/>
      <c r="F23" s="52"/>
      <c r="G23" s="60"/>
      <c r="H23" s="52"/>
      <c r="I23" s="52"/>
      <c r="J23" s="52"/>
      <c r="K23" s="52"/>
      <c r="L23" s="52"/>
      <c r="M23" s="52"/>
      <c r="N23" s="61"/>
      <c r="O23" s="52"/>
      <c r="P23" s="60"/>
      <c r="Q23" s="52"/>
      <c r="R23" s="54"/>
    </row>
    <row r="24">
      <c r="C24" s="6" t="s">
        <v>76</v>
      </c>
      <c r="D24" s="30" t="s">
        <v>81</v>
      </c>
      <c r="E24" s="61"/>
      <c r="F24" s="48">
        <v>0.75</v>
      </c>
      <c r="G24" s="49">
        <v>0.75</v>
      </c>
      <c r="H24" s="48">
        <v>2.0</v>
      </c>
      <c r="I24" s="48">
        <v>2.5</v>
      </c>
      <c r="J24" s="48">
        <v>2.0</v>
      </c>
      <c r="K24" s="48">
        <v>2.0</v>
      </c>
      <c r="L24" s="48">
        <v>2.0</v>
      </c>
      <c r="M24" s="48">
        <v>2.5</v>
      </c>
      <c r="N24" s="47">
        <v>2.0</v>
      </c>
      <c r="O24" s="48">
        <v>2.5</v>
      </c>
      <c r="P24" s="49">
        <v>2.0</v>
      </c>
      <c r="Q24" s="52">
        <f>SUM(E24:P24)</f>
        <v>21</v>
      </c>
      <c r="R24" s="54"/>
    </row>
    <row r="25">
      <c r="C25" s="43"/>
      <c r="D25" s="44"/>
      <c r="E25" s="56"/>
      <c r="F25" s="58"/>
      <c r="G25" s="57"/>
      <c r="H25" s="58"/>
      <c r="I25" s="58"/>
      <c r="J25" s="58"/>
      <c r="K25" s="58"/>
      <c r="L25" s="58"/>
      <c r="M25" s="58"/>
      <c r="N25" s="56"/>
      <c r="O25" s="58"/>
      <c r="P25" s="57"/>
      <c r="Q25" s="58"/>
      <c r="R25" s="54"/>
    </row>
    <row r="26">
      <c r="B26" s="77" t="s">
        <v>73</v>
      </c>
      <c r="E26" s="54">
        <f t="shared" ref="E26:Q26" si="5">sum(E7:E25)</f>
        <v>20</v>
      </c>
      <c r="F26" s="54">
        <f t="shared" si="5"/>
        <v>24.5</v>
      </c>
      <c r="G26" s="54">
        <f t="shared" si="5"/>
        <v>20</v>
      </c>
      <c r="H26" s="54">
        <f t="shared" si="5"/>
        <v>19</v>
      </c>
      <c r="I26" s="54">
        <f t="shared" si="5"/>
        <v>23.5</v>
      </c>
      <c r="J26" s="54">
        <f t="shared" si="5"/>
        <v>19</v>
      </c>
      <c r="K26" s="54">
        <f t="shared" si="5"/>
        <v>19</v>
      </c>
      <c r="L26" s="54">
        <f t="shared" si="5"/>
        <v>19</v>
      </c>
      <c r="M26" s="54">
        <f t="shared" si="5"/>
        <v>23.5</v>
      </c>
      <c r="N26" s="54">
        <f t="shared" si="5"/>
        <v>20</v>
      </c>
      <c r="O26" s="54">
        <f t="shared" si="5"/>
        <v>23.5</v>
      </c>
      <c r="P26" s="54">
        <f t="shared" si="5"/>
        <v>16</v>
      </c>
      <c r="Q26" s="54">
        <f t="shared" si="5"/>
        <v>247</v>
      </c>
      <c r="R26" s="54">
        <f t="shared" ref="R26:R27" si="7">sum(E26:P26)</f>
        <v>247</v>
      </c>
    </row>
    <row r="27">
      <c r="B27" s="27" t="s">
        <v>172</v>
      </c>
      <c r="E27" s="54">
        <f t="shared" ref="E27:Q27" si="6">E6-E26</f>
        <v>0</v>
      </c>
      <c r="F27" s="54">
        <f t="shared" si="6"/>
        <v>0.5</v>
      </c>
      <c r="G27" s="54">
        <f t="shared" si="6"/>
        <v>0</v>
      </c>
      <c r="H27" s="54">
        <f t="shared" si="6"/>
        <v>1</v>
      </c>
      <c r="I27" s="54">
        <f t="shared" si="6"/>
        <v>1.5</v>
      </c>
      <c r="J27" s="54">
        <f t="shared" si="6"/>
        <v>1</v>
      </c>
      <c r="K27" s="54">
        <f t="shared" si="6"/>
        <v>1</v>
      </c>
      <c r="L27" s="54">
        <f t="shared" si="6"/>
        <v>1</v>
      </c>
      <c r="M27" s="54">
        <f t="shared" si="6"/>
        <v>1.5</v>
      </c>
      <c r="N27" s="54">
        <f t="shared" si="6"/>
        <v>0</v>
      </c>
      <c r="O27" s="54">
        <f t="shared" si="6"/>
        <v>1.5</v>
      </c>
      <c r="P27" s="54">
        <f t="shared" si="6"/>
        <v>4</v>
      </c>
      <c r="Q27" s="54">
        <f t="shared" si="6"/>
        <v>13</v>
      </c>
      <c r="R27" s="54">
        <f t="shared" si="7"/>
        <v>13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1.88"/>
    <col customWidth="1" min="3" max="3" width="16.63"/>
    <col customWidth="1" min="4" max="4" width="3.63"/>
    <col customWidth="1" min="5" max="5" width="2.25"/>
    <col customWidth="1" min="6" max="6" width="24.75"/>
    <col customWidth="1" min="7" max="7" width="5.13"/>
    <col customWidth="1" min="8" max="8" width="20.5"/>
    <col customWidth="1" min="9" max="9" width="4.5"/>
    <col customWidth="1" min="10" max="10" width="2.13"/>
    <col customWidth="1" min="11" max="11" width="21.63"/>
    <col customWidth="1" min="12" max="12" width="4.75"/>
  </cols>
  <sheetData>
    <row r="2">
      <c r="B2" s="2" t="s">
        <v>0</v>
      </c>
      <c r="C2" s="4" t="s">
        <v>2</v>
      </c>
      <c r="D2" s="4" t="s">
        <v>4</v>
      </c>
      <c r="E2" s="4"/>
      <c r="F2" s="4" t="s">
        <v>5</v>
      </c>
      <c r="G2" s="8" t="s">
        <v>6</v>
      </c>
      <c r="H2" s="4" t="s">
        <v>8</v>
      </c>
      <c r="I2" s="8" t="s">
        <v>9</v>
      </c>
      <c r="J2" s="4"/>
      <c r="K2" s="4" t="s">
        <v>11</v>
      </c>
      <c r="L2" s="4" t="s">
        <v>13</v>
      </c>
    </row>
    <row r="3" ht="14.25" customHeight="1">
      <c r="B3" s="13"/>
      <c r="C3" s="15"/>
      <c r="D3" s="15"/>
      <c r="E3" s="16"/>
      <c r="F3" s="16"/>
      <c r="G3" s="17"/>
      <c r="H3" s="16"/>
      <c r="I3" s="17"/>
      <c r="J3" s="16"/>
      <c r="K3" s="16"/>
      <c r="L3" s="16"/>
    </row>
    <row r="4">
      <c r="B4" s="21"/>
      <c r="C4" s="21"/>
      <c r="D4" s="21"/>
      <c r="E4" s="21"/>
      <c r="F4" s="21"/>
      <c r="G4" s="21"/>
      <c r="H4" s="21"/>
      <c r="J4" s="21"/>
      <c r="K4" s="21"/>
      <c r="L4" s="21"/>
    </row>
    <row r="5">
      <c r="B5" s="6" t="s">
        <v>20</v>
      </c>
      <c r="C5" s="6" t="s">
        <v>21</v>
      </c>
      <c r="D5" s="6" t="s">
        <v>22</v>
      </c>
      <c r="E5" s="6"/>
      <c r="F5" s="6" t="s">
        <v>23</v>
      </c>
      <c r="G5" s="6" t="s">
        <v>24</v>
      </c>
      <c r="H5" s="21"/>
      <c r="J5" s="6"/>
      <c r="K5" s="6" t="s">
        <v>25</v>
      </c>
      <c r="L5" s="6" t="s">
        <v>26</v>
      </c>
    </row>
    <row r="6">
      <c r="B6" s="6"/>
      <c r="C6" s="6" t="s">
        <v>27</v>
      </c>
      <c r="D6" s="6" t="s">
        <v>28</v>
      </c>
      <c r="E6" s="6"/>
      <c r="F6" s="6" t="s">
        <v>29</v>
      </c>
      <c r="G6" s="6" t="s">
        <v>31</v>
      </c>
      <c r="H6" s="21"/>
      <c r="J6" s="21"/>
      <c r="K6" s="6" t="s">
        <v>35</v>
      </c>
      <c r="L6" s="6" t="s">
        <v>36</v>
      </c>
    </row>
    <row r="7">
      <c r="B7" s="21"/>
      <c r="C7" s="6"/>
      <c r="D7" s="6"/>
      <c r="E7" s="21"/>
      <c r="F7" s="21"/>
      <c r="G7" s="21"/>
      <c r="H7" s="6" t="s">
        <v>45</v>
      </c>
      <c r="I7" s="27" t="s">
        <v>46</v>
      </c>
      <c r="J7" s="21"/>
      <c r="K7" s="21"/>
      <c r="L7" s="21"/>
    </row>
    <row r="8">
      <c r="B8" s="21"/>
      <c r="C8" s="6" t="s">
        <v>52</v>
      </c>
      <c r="D8" s="6" t="s">
        <v>53</v>
      </c>
      <c r="E8" s="21"/>
      <c r="F8" s="21"/>
      <c r="G8" s="21"/>
      <c r="H8" s="6" t="s">
        <v>55</v>
      </c>
      <c r="I8" s="27" t="s">
        <v>56</v>
      </c>
      <c r="J8" s="21"/>
      <c r="K8" s="21"/>
      <c r="L8" s="21"/>
    </row>
    <row r="9">
      <c r="B9" s="21"/>
      <c r="C9" s="6" t="s">
        <v>58</v>
      </c>
      <c r="D9" s="6" t="s">
        <v>59</v>
      </c>
      <c r="E9" s="6"/>
      <c r="F9" s="6" t="s">
        <v>60</v>
      </c>
      <c r="G9" s="6" t="s">
        <v>62</v>
      </c>
      <c r="H9" s="21"/>
      <c r="J9" s="21"/>
      <c r="K9" s="21"/>
      <c r="L9" s="21"/>
    </row>
    <row r="10">
      <c r="B10" s="21"/>
      <c r="C10" s="6" t="s">
        <v>66</v>
      </c>
      <c r="D10" s="6" t="s">
        <v>68</v>
      </c>
      <c r="E10" s="6"/>
      <c r="F10" s="6" t="s">
        <v>69</v>
      </c>
      <c r="G10" s="6" t="s">
        <v>70</v>
      </c>
      <c r="H10" s="21"/>
      <c r="J10" s="21"/>
      <c r="K10" s="21"/>
      <c r="L10" s="21"/>
    </row>
    <row r="11">
      <c r="B11" s="21"/>
      <c r="C11" s="21"/>
      <c r="D11" s="21"/>
      <c r="E11" s="6"/>
      <c r="F11" s="6" t="s">
        <v>75</v>
      </c>
      <c r="G11" s="6" t="s">
        <v>74</v>
      </c>
      <c r="H11" s="21"/>
      <c r="J11" s="21"/>
      <c r="K11" s="21"/>
      <c r="L11" s="21"/>
    </row>
    <row r="12">
      <c r="B12" s="21"/>
      <c r="C12" s="6" t="s">
        <v>78</v>
      </c>
      <c r="D12" s="6" t="s">
        <v>79</v>
      </c>
      <c r="E12" s="6"/>
      <c r="F12" s="6" t="s">
        <v>82</v>
      </c>
      <c r="G12" s="6" t="s">
        <v>81</v>
      </c>
      <c r="H12" s="21"/>
      <c r="J12" s="21"/>
      <c r="K12" s="21"/>
      <c r="L12" s="21"/>
    </row>
    <row r="13">
      <c r="B13" s="6"/>
      <c r="C13" s="6"/>
      <c r="D13" s="6"/>
      <c r="E13" s="21"/>
      <c r="F13" s="21"/>
      <c r="G13" s="21"/>
      <c r="H13" s="21"/>
      <c r="J13" s="21"/>
      <c r="K13" s="21"/>
      <c r="L13" s="21"/>
    </row>
    <row r="14">
      <c r="B14" s="6" t="s">
        <v>93</v>
      </c>
      <c r="C14" s="6" t="s">
        <v>94</v>
      </c>
      <c r="D14" s="6" t="s">
        <v>95</v>
      </c>
      <c r="E14" s="21"/>
      <c r="F14" s="21"/>
      <c r="G14" s="21"/>
      <c r="H14" s="21"/>
      <c r="J14" s="21"/>
      <c r="K14" s="21"/>
      <c r="L14" s="21"/>
    </row>
    <row r="15">
      <c r="B15" s="21"/>
      <c r="C15" s="6" t="s">
        <v>96</v>
      </c>
      <c r="D15" s="6" t="s">
        <v>97</v>
      </c>
      <c r="E15" s="21"/>
      <c r="F15" s="21"/>
      <c r="G15" s="21"/>
      <c r="H15" s="21"/>
      <c r="J15" s="21"/>
      <c r="K15" s="21"/>
      <c r="L15" s="21"/>
    </row>
    <row r="16">
      <c r="B16" s="21"/>
      <c r="C16" s="6" t="s">
        <v>102</v>
      </c>
      <c r="D16" s="6" t="s">
        <v>104</v>
      </c>
      <c r="E16" s="21"/>
      <c r="F16" s="21"/>
      <c r="G16" s="21"/>
      <c r="H16" s="21"/>
      <c r="J16" s="21"/>
      <c r="K16" s="21"/>
      <c r="L16" s="21"/>
    </row>
    <row r="17">
      <c r="B17" s="21"/>
      <c r="C17" s="6" t="s">
        <v>106</v>
      </c>
      <c r="D17" s="6" t="s">
        <v>4</v>
      </c>
      <c r="E17" s="21"/>
      <c r="F17" s="21"/>
      <c r="G17" s="21"/>
      <c r="H17" s="21"/>
      <c r="J17" s="21"/>
      <c r="K17" s="21"/>
      <c r="L17" s="21"/>
    </row>
    <row r="18">
      <c r="B18" s="21"/>
      <c r="C18" s="6" t="s">
        <v>111</v>
      </c>
      <c r="D18" s="6" t="s">
        <v>53</v>
      </c>
      <c r="E18" s="21"/>
      <c r="F18" s="21"/>
      <c r="G18" s="21"/>
      <c r="H18" s="21"/>
      <c r="J18" s="21"/>
      <c r="K18" s="21"/>
      <c r="L18" s="21"/>
    </row>
    <row r="19">
      <c r="B19" s="21"/>
      <c r="C19" s="21"/>
      <c r="D19" s="21"/>
      <c r="E19" s="21"/>
      <c r="F19" s="21"/>
      <c r="G19" s="21"/>
      <c r="H19" s="21"/>
      <c r="J19" s="21"/>
      <c r="K19" s="21"/>
      <c r="L19" s="21"/>
    </row>
    <row r="20">
      <c r="B20" s="21"/>
      <c r="C20" s="6" t="s">
        <v>115</v>
      </c>
      <c r="D20" s="6" t="s">
        <v>79</v>
      </c>
      <c r="E20" s="21"/>
      <c r="F20" s="21"/>
      <c r="G20" s="21"/>
      <c r="H20" s="21"/>
      <c r="J20" s="21"/>
      <c r="K20" s="21"/>
      <c r="L20" s="21"/>
    </row>
    <row r="21">
      <c r="B21" s="21"/>
      <c r="C21" s="6" t="s">
        <v>118</v>
      </c>
      <c r="D21" s="6" t="s">
        <v>120</v>
      </c>
      <c r="E21" s="21"/>
      <c r="F21" s="21"/>
      <c r="G21" s="21"/>
      <c r="H21" s="21"/>
      <c r="J21" s="21"/>
      <c r="K21" s="21"/>
      <c r="L21" s="21"/>
    </row>
    <row r="22">
      <c r="B22" s="21"/>
      <c r="C22" s="21"/>
      <c r="D22" s="21"/>
      <c r="E22" s="21"/>
      <c r="F22" s="21"/>
      <c r="G22" s="21"/>
      <c r="H22" s="21"/>
      <c r="J22" s="21"/>
      <c r="K22" s="21"/>
      <c r="L22" s="21"/>
    </row>
    <row r="23">
      <c r="B23" s="21"/>
      <c r="C23" s="6" t="s">
        <v>123</v>
      </c>
      <c r="D23" s="6" t="s">
        <v>124</v>
      </c>
      <c r="E23" s="21"/>
      <c r="F23" s="21"/>
      <c r="G23" s="21"/>
      <c r="H23" s="21"/>
      <c r="J23" s="21"/>
      <c r="K23" s="21"/>
      <c r="L23" s="21"/>
    </row>
    <row r="24">
      <c r="B24" s="16"/>
      <c r="C24" s="12"/>
      <c r="D24" s="12"/>
      <c r="E24" s="16"/>
      <c r="F24" s="16"/>
      <c r="G24" s="16"/>
      <c r="H24" s="16"/>
      <c r="I24" s="45"/>
      <c r="J24" s="16"/>
      <c r="K24" s="16"/>
      <c r="L24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2">
      <c r="B2" s="1"/>
    </row>
    <row r="3">
      <c r="B3" s="6" t="s">
        <v>30</v>
      </c>
    </row>
    <row r="4">
      <c r="B4" s="6" t="s">
        <v>32</v>
      </c>
    </row>
    <row r="5">
      <c r="B5" s="6" t="s">
        <v>33</v>
      </c>
    </row>
    <row r="6">
      <c r="B6" s="6" t="s">
        <v>34</v>
      </c>
    </row>
    <row r="7">
      <c r="B7" s="21"/>
    </row>
    <row r="8">
      <c r="B8" s="21"/>
    </row>
    <row r="9">
      <c r="B9" s="6" t="s">
        <v>37</v>
      </c>
    </row>
    <row r="10">
      <c r="B10" s="6" t="s">
        <v>38</v>
      </c>
    </row>
    <row r="11">
      <c r="B11" s="21"/>
    </row>
    <row r="12">
      <c r="B12" s="21"/>
    </row>
    <row r="13">
      <c r="B13" s="6" t="s">
        <v>40</v>
      </c>
    </row>
    <row r="14">
      <c r="B14" s="6" t="s">
        <v>41</v>
      </c>
    </row>
    <row r="15">
      <c r="B15" s="6" t="s">
        <v>43</v>
      </c>
    </row>
    <row r="16">
      <c r="B16" s="6" t="s">
        <v>44</v>
      </c>
    </row>
    <row r="17">
      <c r="B17" s="21"/>
    </row>
    <row r="18">
      <c r="B18" s="6" t="s">
        <v>47</v>
      </c>
    </row>
    <row r="19">
      <c r="B19" s="6" t="s">
        <v>49</v>
      </c>
    </row>
    <row r="20">
      <c r="B20" s="6" t="s">
        <v>50</v>
      </c>
    </row>
    <row r="21">
      <c r="B21" s="6" t="s">
        <v>51</v>
      </c>
    </row>
    <row r="22">
      <c r="B22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2.13"/>
    <col customWidth="1" min="4" max="4" width="12.88"/>
    <col customWidth="1" min="5" max="6" width="9.38"/>
  </cols>
  <sheetData>
    <row r="2">
      <c r="B2" s="1" t="s">
        <v>98</v>
      </c>
      <c r="C2" s="1" t="s">
        <v>58</v>
      </c>
      <c r="D2" s="1" t="s">
        <v>99</v>
      </c>
      <c r="E2" s="1" t="s">
        <v>100</v>
      </c>
      <c r="F2" s="1" t="s">
        <v>101</v>
      </c>
    </row>
    <row r="3">
      <c r="A3" s="27"/>
      <c r="B3" s="27"/>
      <c r="D3" s="1"/>
      <c r="E3" s="51"/>
      <c r="F3" s="53"/>
    </row>
    <row r="4">
      <c r="A4" s="27"/>
      <c r="B4" s="27" t="s">
        <v>103</v>
      </c>
      <c r="C4" s="55" t="str">
        <f>'Project Calendar'!B4</f>
        <v>PM01</v>
      </c>
      <c r="D4" s="1" t="s">
        <v>105</v>
      </c>
      <c r="E4" s="51">
        <v>46209.0</v>
      </c>
      <c r="F4" s="53">
        <f>E4+5-1</f>
        <v>46213</v>
      </c>
    </row>
    <row r="5">
      <c r="D5" s="1" t="s">
        <v>107</v>
      </c>
      <c r="E5" s="53">
        <f t="shared" ref="E5:F5" si="1">E4+7</f>
        <v>46216</v>
      </c>
      <c r="F5" s="53">
        <f t="shared" si="1"/>
        <v>46220</v>
      </c>
    </row>
    <row r="6">
      <c r="D6" s="1" t="s">
        <v>110</v>
      </c>
      <c r="E6" s="51">
        <f t="shared" ref="E6:E55" si="2">E5+7</f>
        <v>46223</v>
      </c>
      <c r="F6" s="53">
        <f>E6+5-1</f>
        <v>46227</v>
      </c>
    </row>
    <row r="7">
      <c r="D7" s="1" t="s">
        <v>112</v>
      </c>
      <c r="E7" s="53">
        <f t="shared" si="2"/>
        <v>46230</v>
      </c>
      <c r="F7" s="53">
        <f>F6+7</f>
        <v>46234</v>
      </c>
    </row>
    <row r="8">
      <c r="A8" s="27"/>
      <c r="B8" s="27" t="s">
        <v>103</v>
      </c>
      <c r="C8" s="55" t="str">
        <f>'Project Calendar'!C4</f>
        <v>PM02</v>
      </c>
      <c r="D8" s="1" t="s">
        <v>113</v>
      </c>
      <c r="E8" s="53">
        <f t="shared" si="2"/>
        <v>46237</v>
      </c>
      <c r="F8" s="53">
        <f>E8+5-1</f>
        <v>46241</v>
      </c>
    </row>
    <row r="9">
      <c r="D9" s="1" t="s">
        <v>114</v>
      </c>
      <c r="E9" s="53">
        <f t="shared" si="2"/>
        <v>46244</v>
      </c>
      <c r="F9" s="53">
        <f>F8+7</f>
        <v>46248</v>
      </c>
    </row>
    <row r="10">
      <c r="D10" s="1" t="s">
        <v>116</v>
      </c>
      <c r="E10" s="53">
        <f t="shared" si="2"/>
        <v>46251</v>
      </c>
      <c r="F10" s="53">
        <f>E10+5-1</f>
        <v>46255</v>
      </c>
    </row>
    <row r="11">
      <c r="D11" s="1" t="s">
        <v>117</v>
      </c>
      <c r="E11" s="53">
        <f t="shared" si="2"/>
        <v>46258</v>
      </c>
      <c r="F11" s="53">
        <f>F10+7</f>
        <v>46262</v>
      </c>
    </row>
    <row r="12">
      <c r="D12" s="1" t="s">
        <v>119</v>
      </c>
      <c r="E12" s="53">
        <f t="shared" si="2"/>
        <v>46265</v>
      </c>
      <c r="F12" s="53">
        <f>E12+5-1</f>
        <v>46269</v>
      </c>
    </row>
    <row r="13">
      <c r="A13" s="27"/>
      <c r="B13" s="27" t="s">
        <v>103</v>
      </c>
      <c r="C13" s="55" t="str">
        <f>'Project Calendar'!D4</f>
        <v>PM03</v>
      </c>
      <c r="D13" s="1" t="s">
        <v>121</v>
      </c>
      <c r="E13" s="53">
        <f t="shared" si="2"/>
        <v>46272</v>
      </c>
      <c r="F13" s="53">
        <f>F12+7</f>
        <v>46276</v>
      </c>
    </row>
    <row r="14">
      <c r="D14" s="1" t="s">
        <v>122</v>
      </c>
      <c r="E14" s="53">
        <f t="shared" si="2"/>
        <v>46279</v>
      </c>
      <c r="F14" s="53">
        <f>E14+5-1</f>
        <v>46283</v>
      </c>
    </row>
    <row r="15">
      <c r="D15" s="1" t="s">
        <v>125</v>
      </c>
      <c r="E15" s="53">
        <f t="shared" si="2"/>
        <v>46286</v>
      </c>
      <c r="F15" s="53">
        <f>F14+7</f>
        <v>46290</v>
      </c>
    </row>
    <row r="16">
      <c r="D16" s="1" t="s">
        <v>126</v>
      </c>
      <c r="E16" s="53">
        <f t="shared" si="2"/>
        <v>46293</v>
      </c>
      <c r="F16" s="53">
        <f>E16+5-1</f>
        <v>46297</v>
      </c>
    </row>
    <row r="17">
      <c r="A17" s="27"/>
      <c r="B17" s="27" t="s">
        <v>127</v>
      </c>
      <c r="C17" s="55" t="str">
        <f>'Project Calendar'!F4</f>
        <v>PM04</v>
      </c>
      <c r="D17" s="1" t="s">
        <v>128</v>
      </c>
      <c r="E17" s="53">
        <f t="shared" si="2"/>
        <v>46300</v>
      </c>
      <c r="F17" s="53">
        <f>F16+7</f>
        <v>46304</v>
      </c>
    </row>
    <row r="18">
      <c r="D18" s="1" t="s">
        <v>129</v>
      </c>
      <c r="E18" s="53">
        <f t="shared" si="2"/>
        <v>46307</v>
      </c>
      <c r="F18" s="53">
        <f>E18+5-1</f>
        <v>46311</v>
      </c>
    </row>
    <row r="19">
      <c r="D19" s="1" t="s">
        <v>131</v>
      </c>
      <c r="E19" s="53">
        <f t="shared" si="2"/>
        <v>46314</v>
      </c>
      <c r="F19" s="53">
        <f>F18+7</f>
        <v>46318</v>
      </c>
    </row>
    <row r="20">
      <c r="D20" s="1" t="s">
        <v>132</v>
      </c>
      <c r="E20" s="53">
        <f t="shared" si="2"/>
        <v>46321</v>
      </c>
      <c r="F20" s="53">
        <f>E20+5-1</f>
        <v>46325</v>
      </c>
    </row>
    <row r="21">
      <c r="A21" s="27"/>
      <c r="B21" s="27" t="s">
        <v>127</v>
      </c>
      <c r="C21" s="55" t="str">
        <f>'Project Calendar'!G4</f>
        <v>PM05</v>
      </c>
      <c r="D21" s="1" t="s">
        <v>133</v>
      </c>
      <c r="E21" s="53">
        <f t="shared" si="2"/>
        <v>46328</v>
      </c>
      <c r="F21" s="53">
        <f>F20+7</f>
        <v>46332</v>
      </c>
    </row>
    <row r="22">
      <c r="D22" s="1" t="s">
        <v>134</v>
      </c>
      <c r="E22" s="53">
        <f t="shared" si="2"/>
        <v>46335</v>
      </c>
      <c r="F22" s="53">
        <f>E22+5-1</f>
        <v>46339</v>
      </c>
    </row>
    <row r="23">
      <c r="D23" s="1" t="s">
        <v>135</v>
      </c>
      <c r="E23" s="53">
        <f t="shared" si="2"/>
        <v>46342</v>
      </c>
      <c r="F23" s="53">
        <f>F22+7</f>
        <v>46346</v>
      </c>
    </row>
    <row r="24">
      <c r="D24" s="1" t="s">
        <v>136</v>
      </c>
      <c r="E24" s="53">
        <f t="shared" si="2"/>
        <v>46349</v>
      </c>
      <c r="F24" s="53">
        <f>E24+5-1</f>
        <v>46353</v>
      </c>
    </row>
    <row r="25">
      <c r="D25" s="1" t="s">
        <v>137</v>
      </c>
      <c r="E25" s="53">
        <f t="shared" si="2"/>
        <v>46356</v>
      </c>
      <c r="F25" s="53">
        <f>F24+7</f>
        <v>46360</v>
      </c>
    </row>
    <row r="26">
      <c r="A26" s="27"/>
      <c r="B26" s="27" t="s">
        <v>138</v>
      </c>
      <c r="C26" s="55" t="str">
        <f>'Project Calendar'!H4</f>
        <v>PM06</v>
      </c>
      <c r="D26" s="1" t="s">
        <v>139</v>
      </c>
      <c r="E26" s="53">
        <f t="shared" si="2"/>
        <v>46363</v>
      </c>
      <c r="F26" s="53">
        <f>E26+5-1</f>
        <v>46367</v>
      </c>
    </row>
    <row r="27">
      <c r="D27" s="1" t="s">
        <v>140</v>
      </c>
      <c r="E27" s="53">
        <f t="shared" si="2"/>
        <v>46370</v>
      </c>
      <c r="F27" s="53">
        <f>F26+7</f>
        <v>46374</v>
      </c>
    </row>
    <row r="28">
      <c r="D28" s="1" t="s">
        <v>141</v>
      </c>
      <c r="E28" s="53">
        <f t="shared" si="2"/>
        <v>46377</v>
      </c>
      <c r="F28" s="53">
        <f>E28+5-1</f>
        <v>46381</v>
      </c>
    </row>
    <row r="29">
      <c r="D29" s="1" t="s">
        <v>142</v>
      </c>
      <c r="E29" s="53">
        <f t="shared" si="2"/>
        <v>46384</v>
      </c>
      <c r="F29" s="53">
        <f>F28+7</f>
        <v>46388</v>
      </c>
    </row>
    <row r="30">
      <c r="A30" s="27"/>
      <c r="B30" s="27" t="s">
        <v>138</v>
      </c>
      <c r="C30" s="55" t="str">
        <f>'Project Calendar'!J4</f>
        <v>PM07</v>
      </c>
      <c r="D30" s="1" t="s">
        <v>143</v>
      </c>
      <c r="E30" s="53">
        <f t="shared" si="2"/>
        <v>46391</v>
      </c>
      <c r="F30" s="53">
        <f>E30+5-1</f>
        <v>46395</v>
      </c>
    </row>
    <row r="31">
      <c r="D31" s="1" t="s">
        <v>144</v>
      </c>
      <c r="E31" s="53">
        <f t="shared" si="2"/>
        <v>46398</v>
      </c>
      <c r="F31" s="53">
        <f>F30+7</f>
        <v>46402</v>
      </c>
    </row>
    <row r="32">
      <c r="D32" s="1" t="s">
        <v>146</v>
      </c>
      <c r="E32" s="53">
        <f t="shared" si="2"/>
        <v>46405</v>
      </c>
      <c r="F32" s="53">
        <f>E32+5-1</f>
        <v>46409</v>
      </c>
    </row>
    <row r="33">
      <c r="D33" s="1" t="s">
        <v>147</v>
      </c>
      <c r="E33" s="53">
        <f t="shared" si="2"/>
        <v>46412</v>
      </c>
      <c r="F33" s="53">
        <f>F32+7</f>
        <v>46416</v>
      </c>
    </row>
    <row r="34">
      <c r="A34" s="27"/>
      <c r="B34" s="27" t="s">
        <v>138</v>
      </c>
      <c r="C34" s="55" t="str">
        <f>'Project Calendar'!K4</f>
        <v>PM08</v>
      </c>
      <c r="D34" s="1" t="s">
        <v>148</v>
      </c>
      <c r="E34" s="53">
        <f t="shared" si="2"/>
        <v>46419</v>
      </c>
      <c r="F34" s="53">
        <f>E34+5-1</f>
        <v>46423</v>
      </c>
    </row>
    <row r="35">
      <c r="D35" s="1" t="s">
        <v>153</v>
      </c>
      <c r="E35" s="53">
        <f t="shared" si="2"/>
        <v>46426</v>
      </c>
      <c r="F35" s="53">
        <f>F34+7</f>
        <v>46430</v>
      </c>
    </row>
    <row r="36">
      <c r="D36" s="1" t="s">
        <v>154</v>
      </c>
      <c r="E36" s="53">
        <f t="shared" si="2"/>
        <v>46433</v>
      </c>
      <c r="F36" s="53">
        <f t="shared" ref="F36:F37" si="3">E36+5-1</f>
        <v>46437</v>
      </c>
    </row>
    <row r="37">
      <c r="D37" s="1" t="s">
        <v>156</v>
      </c>
      <c r="E37" s="53">
        <f t="shared" si="2"/>
        <v>46440</v>
      </c>
      <c r="F37" s="53">
        <f t="shared" si="3"/>
        <v>46444</v>
      </c>
    </row>
    <row r="38">
      <c r="A38" s="27"/>
      <c r="B38" s="27" t="s">
        <v>138</v>
      </c>
      <c r="C38" s="55" t="str">
        <f>'Project Calendar'!L4</f>
        <v>PM09</v>
      </c>
      <c r="D38" s="1" t="s">
        <v>149</v>
      </c>
      <c r="E38" s="53">
        <f t="shared" si="2"/>
        <v>46447</v>
      </c>
      <c r="F38" s="53">
        <f>F37+7</f>
        <v>46451</v>
      </c>
    </row>
    <row r="39">
      <c r="D39" s="1" t="s">
        <v>155</v>
      </c>
      <c r="E39" s="53">
        <f t="shared" si="2"/>
        <v>46454</v>
      </c>
      <c r="F39" s="53">
        <f>E39+5-1</f>
        <v>46458</v>
      </c>
    </row>
    <row r="40">
      <c r="D40" s="1" t="s">
        <v>160</v>
      </c>
      <c r="E40" s="53">
        <f t="shared" si="2"/>
        <v>46461</v>
      </c>
      <c r="F40" s="53">
        <f>F39+7</f>
        <v>46465</v>
      </c>
    </row>
    <row r="41">
      <c r="D41" s="1" t="s">
        <v>164</v>
      </c>
      <c r="E41" s="53">
        <f t="shared" si="2"/>
        <v>46468</v>
      </c>
      <c r="F41" s="53">
        <f>E41+5-1</f>
        <v>46472</v>
      </c>
    </row>
    <row r="42">
      <c r="D42" s="1" t="s">
        <v>168</v>
      </c>
      <c r="E42" s="53">
        <f t="shared" si="2"/>
        <v>46475</v>
      </c>
      <c r="F42" s="53">
        <f>F41+7</f>
        <v>46479</v>
      </c>
    </row>
    <row r="43">
      <c r="A43" s="27"/>
      <c r="B43" s="27" t="s">
        <v>170</v>
      </c>
      <c r="C43" s="55" t="str">
        <f>'Project Calendar'!N4</f>
        <v>PM10</v>
      </c>
      <c r="D43" s="1" t="s">
        <v>150</v>
      </c>
      <c r="E43" s="53">
        <f t="shared" si="2"/>
        <v>46482</v>
      </c>
      <c r="F43" s="53">
        <f>E43+5-1</f>
        <v>46486</v>
      </c>
    </row>
    <row r="44">
      <c r="D44" s="1" t="s">
        <v>157</v>
      </c>
      <c r="E44" s="53">
        <f t="shared" si="2"/>
        <v>46489</v>
      </c>
      <c r="F44" s="53">
        <f>F43+7</f>
        <v>46493</v>
      </c>
    </row>
    <row r="45">
      <c r="D45" s="1" t="s">
        <v>161</v>
      </c>
      <c r="E45" s="53">
        <f t="shared" si="2"/>
        <v>46496</v>
      </c>
      <c r="F45" s="53">
        <f>E45+5-1</f>
        <v>46500</v>
      </c>
    </row>
    <row r="46">
      <c r="D46" s="1" t="s">
        <v>165</v>
      </c>
      <c r="E46" s="53">
        <f t="shared" si="2"/>
        <v>46503</v>
      </c>
      <c r="F46" s="53">
        <f>F45+7</f>
        <v>46507</v>
      </c>
    </row>
    <row r="47">
      <c r="A47" s="27"/>
      <c r="B47" s="27" t="s">
        <v>170</v>
      </c>
      <c r="C47" s="55" t="str">
        <f>'Project Calendar'!O4</f>
        <v>PM11</v>
      </c>
      <c r="D47" s="1" t="s">
        <v>151</v>
      </c>
      <c r="E47" s="53">
        <f t="shared" si="2"/>
        <v>46510</v>
      </c>
      <c r="F47" s="53">
        <f>E47+5-1</f>
        <v>46514</v>
      </c>
    </row>
    <row r="48">
      <c r="D48" s="1" t="s">
        <v>158</v>
      </c>
      <c r="E48" s="53">
        <f t="shared" si="2"/>
        <v>46517</v>
      </c>
      <c r="F48" s="53">
        <f>F47+7</f>
        <v>46521</v>
      </c>
    </row>
    <row r="49">
      <c r="D49" s="1" t="s">
        <v>162</v>
      </c>
      <c r="E49" s="53">
        <f t="shared" si="2"/>
        <v>46524</v>
      </c>
      <c r="F49" s="53">
        <f>E49+5-1</f>
        <v>46528</v>
      </c>
    </row>
    <row r="50">
      <c r="D50" s="1" t="s">
        <v>166</v>
      </c>
      <c r="E50" s="53">
        <f t="shared" si="2"/>
        <v>46531</v>
      </c>
      <c r="F50" s="53">
        <f>F49+7</f>
        <v>46535</v>
      </c>
    </row>
    <row r="51">
      <c r="D51" s="1" t="s">
        <v>169</v>
      </c>
      <c r="E51" s="53">
        <f t="shared" si="2"/>
        <v>46538</v>
      </c>
      <c r="F51" s="53">
        <f>E51+5-1</f>
        <v>46542</v>
      </c>
    </row>
    <row r="52">
      <c r="A52" s="27"/>
      <c r="B52" s="27" t="s">
        <v>170</v>
      </c>
      <c r="C52" s="55" t="str">
        <f>'Project Calendar'!P4</f>
        <v>PM12</v>
      </c>
      <c r="D52" s="1" t="s">
        <v>152</v>
      </c>
      <c r="E52" s="53">
        <f t="shared" si="2"/>
        <v>46545</v>
      </c>
      <c r="F52" s="53">
        <f>F51+7</f>
        <v>46549</v>
      </c>
    </row>
    <row r="53">
      <c r="D53" s="1" t="s">
        <v>159</v>
      </c>
      <c r="E53" s="53">
        <f t="shared" si="2"/>
        <v>46552</v>
      </c>
      <c r="F53" s="53">
        <f>E53+5-1</f>
        <v>46556</v>
      </c>
    </row>
    <row r="54">
      <c r="D54" s="1" t="s">
        <v>163</v>
      </c>
      <c r="E54" s="53">
        <f t="shared" si="2"/>
        <v>46559</v>
      </c>
      <c r="F54" s="53">
        <f>F53+7</f>
        <v>46563</v>
      </c>
    </row>
    <row r="55">
      <c r="D55" s="1" t="s">
        <v>167</v>
      </c>
      <c r="E55" s="53">
        <f t="shared" si="2"/>
        <v>46566</v>
      </c>
      <c r="F55" s="53">
        <f>E55+5-1</f>
        <v>46570</v>
      </c>
    </row>
    <row r="56">
      <c r="D56" s="1"/>
    </row>
  </sheetData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3" max="3" width="12.25"/>
    <col customWidth="1" min="4" max="4" width="11.25"/>
    <col customWidth="1" min="5" max="5" width="10.88"/>
    <col customWidth="1" min="6" max="7" width="9.38"/>
    <col customWidth="1" min="8" max="8" width="4.13"/>
  </cols>
  <sheetData>
    <row r="2">
      <c r="B2" s="55" t="str">
        <f>'Project Weeks (1)'!C2</f>
        <v>Calandar Month</v>
      </c>
      <c r="C2" s="55" t="str">
        <f>'Project Weeks (1)'!B2</f>
        <v>Project Quarter</v>
      </c>
      <c r="D2" s="55" t="str">
        <f>'Project Weeks (1)'!D2</f>
        <v>Project Month</v>
      </c>
      <c r="E2" s="27" t="s">
        <v>66</v>
      </c>
      <c r="F2" s="27" t="s">
        <v>108</v>
      </c>
      <c r="G2" s="27" t="s">
        <v>101</v>
      </c>
      <c r="I2" s="55" t="s">
        <v>109</v>
      </c>
      <c r="J2" s="55" t="s">
        <v>98</v>
      </c>
      <c r="K2" s="55" t="s">
        <v>58</v>
      </c>
      <c r="L2" s="27" t="s">
        <v>66</v>
      </c>
      <c r="M2" s="27" t="s">
        <v>108</v>
      </c>
      <c r="N2" s="27" t="s">
        <v>101</v>
      </c>
    </row>
    <row r="4">
      <c r="B4" s="55" t="str">
        <f>TEXT(F4,"MMMM")</f>
        <v>July</v>
      </c>
      <c r="C4" s="55" t="str">
        <f>'Project Weeks (0)'!B4</f>
        <v>PQ1</v>
      </c>
      <c r="D4" s="55" t="str">
        <f>'Project Weeks (0)'!C4</f>
        <v>PM01</v>
      </c>
      <c r="E4" s="55" t="str">
        <f>'Project Weeks (0)'!D4</f>
        <v>PW01</v>
      </c>
      <c r="F4" s="53">
        <f>'Project Weeks (0)'!E4</f>
        <v>46209</v>
      </c>
      <c r="G4" s="53">
        <f>'Project Weeks (0)'!F4</f>
        <v>46213</v>
      </c>
      <c r="I4" s="55" t="str">
        <f>TEXT(M4,"MMMM")</f>
        <v>January</v>
      </c>
      <c r="J4" s="55" t="str">
        <f>'Project Weeks (0)'!B30</f>
        <v>PQ3</v>
      </c>
      <c r="K4" s="55" t="str">
        <f>'Project Weeks (0)'!C30</f>
        <v>PM07</v>
      </c>
      <c r="L4" s="55" t="str">
        <f>'Project Weeks (0)'!D30</f>
        <v>PW27</v>
      </c>
      <c r="M4" s="53">
        <f>'Project Weeks (0)'!E30</f>
        <v>46391</v>
      </c>
      <c r="N4" s="53">
        <f>'Project Weeks (0)'!F30</f>
        <v>46395</v>
      </c>
    </row>
    <row r="5">
      <c r="E5" s="55" t="str">
        <f>'Project Weeks (0)'!D5</f>
        <v>PW02</v>
      </c>
      <c r="F5" s="53">
        <f t="shared" ref="F5:G5" si="1">F4+7</f>
        <v>46216</v>
      </c>
      <c r="G5" s="53">
        <f t="shared" si="1"/>
        <v>46220</v>
      </c>
      <c r="J5" s="55" t="str">
        <f>'Project Weeks (0)'!B31</f>
        <v/>
      </c>
      <c r="L5" s="55" t="str">
        <f>'Project Weeks (0)'!D31</f>
        <v>PW28</v>
      </c>
      <c r="M5" s="53">
        <f>'Project Weeks (0)'!E31</f>
        <v>46398</v>
      </c>
      <c r="N5" s="53">
        <f>'Project Weeks (0)'!F31</f>
        <v>46402</v>
      </c>
    </row>
    <row r="6">
      <c r="E6" s="55" t="str">
        <f>'Project Weeks (0)'!D6</f>
        <v>PW03</v>
      </c>
      <c r="F6" s="53">
        <f t="shared" ref="F6:G6" si="2">F5+7</f>
        <v>46223</v>
      </c>
      <c r="G6" s="53">
        <f t="shared" si="2"/>
        <v>46227</v>
      </c>
      <c r="J6" s="55" t="str">
        <f>'Project Weeks (0)'!B32</f>
        <v/>
      </c>
      <c r="L6" s="55" t="str">
        <f>'Project Weeks (0)'!D32</f>
        <v>PW29</v>
      </c>
      <c r="M6" s="53">
        <f>'Project Weeks (0)'!E32</f>
        <v>46405</v>
      </c>
      <c r="N6" s="53">
        <f>'Project Weeks (0)'!F32</f>
        <v>46409</v>
      </c>
    </row>
    <row r="7">
      <c r="E7" s="55" t="str">
        <f>'Project Weeks (0)'!D7</f>
        <v>PW04</v>
      </c>
      <c r="F7" s="53">
        <f t="shared" ref="F7:G7" si="3">F6+7</f>
        <v>46230</v>
      </c>
      <c r="G7" s="53">
        <f t="shared" si="3"/>
        <v>46234</v>
      </c>
      <c r="J7" s="55" t="str">
        <f>'Project Weeks (0)'!B33</f>
        <v/>
      </c>
      <c r="L7" s="55" t="str">
        <f>'Project Weeks (0)'!D33</f>
        <v>PW30</v>
      </c>
      <c r="M7" s="53">
        <f>'Project Weeks (0)'!E33</f>
        <v>46412</v>
      </c>
      <c r="N7" s="53">
        <f>'Project Weeks (0)'!F33</f>
        <v>46416</v>
      </c>
    </row>
    <row r="9">
      <c r="B9" s="55" t="str">
        <f>TEXT(F9,"MMMM")</f>
        <v>August</v>
      </c>
      <c r="C9" s="55" t="str">
        <f>'Project Weeks (0)'!B8</f>
        <v>PQ1</v>
      </c>
      <c r="D9" s="55" t="str">
        <f>'Project Weeks (0)'!C8</f>
        <v>PM02</v>
      </c>
      <c r="E9" s="55" t="str">
        <f>'Project Weeks (0)'!D8</f>
        <v>PW05</v>
      </c>
      <c r="F9" s="53">
        <f>'Project Weeks (0)'!E8</f>
        <v>46237</v>
      </c>
      <c r="G9" s="53">
        <f>'Project Weeks (0)'!F8</f>
        <v>46241</v>
      </c>
      <c r="I9" s="55" t="str">
        <f>TEXT(M9,"MMMM")</f>
        <v>February</v>
      </c>
      <c r="J9" s="55" t="str">
        <f>'Project Weeks (0)'!B34</f>
        <v>PQ3</v>
      </c>
      <c r="K9" s="55" t="str">
        <f>'Project Weeks (0)'!C34</f>
        <v>PM08</v>
      </c>
      <c r="L9" s="55" t="str">
        <f>'Project Weeks (0)'!D34</f>
        <v>PW31</v>
      </c>
      <c r="M9" s="53">
        <f>'Project Weeks (0)'!E34</f>
        <v>46419</v>
      </c>
      <c r="N9" s="53">
        <f>'Project Weeks (0)'!F34</f>
        <v>46423</v>
      </c>
    </row>
    <row r="10">
      <c r="E10" s="55" t="str">
        <f>'Project Weeks (0)'!D9</f>
        <v>PW06</v>
      </c>
      <c r="F10" s="53">
        <f t="shared" ref="F10:G10" si="4">F9+7</f>
        <v>46244</v>
      </c>
      <c r="G10" s="53">
        <f t="shared" si="4"/>
        <v>46248</v>
      </c>
      <c r="L10" s="55" t="str">
        <f>'Project Weeks (0)'!D35</f>
        <v>PW32</v>
      </c>
      <c r="M10" s="53">
        <f>'Project Weeks (0)'!E35</f>
        <v>46426</v>
      </c>
      <c r="N10" s="53">
        <f>'Project Weeks (0)'!F35</f>
        <v>46430</v>
      </c>
    </row>
    <row r="11">
      <c r="E11" s="55" t="str">
        <f>'Project Weeks (0)'!D10</f>
        <v>PW07</v>
      </c>
      <c r="F11" s="53">
        <f t="shared" ref="F11:G11" si="5">F10+7</f>
        <v>46251</v>
      </c>
      <c r="G11" s="53">
        <f t="shared" si="5"/>
        <v>46255</v>
      </c>
      <c r="L11" s="55" t="str">
        <f>'Project Weeks (0)'!D36</f>
        <v>PW33</v>
      </c>
      <c r="M11" s="53">
        <f>'Project Weeks (0)'!E36</f>
        <v>46433</v>
      </c>
      <c r="N11" s="53">
        <f>'Project Weeks (0)'!F36</f>
        <v>46437</v>
      </c>
    </row>
    <row r="12">
      <c r="E12" s="55" t="str">
        <f>'Project Weeks (0)'!D11</f>
        <v>PW08</v>
      </c>
      <c r="F12" s="53">
        <f t="shared" ref="F12:G12" si="6">F11+7</f>
        <v>46258</v>
      </c>
      <c r="G12" s="53">
        <f t="shared" si="6"/>
        <v>46262</v>
      </c>
      <c r="L12" s="55" t="str">
        <f>'Project Weeks (0)'!D37</f>
        <v>PW34</v>
      </c>
      <c r="M12" s="53">
        <f>'Project Weeks (0)'!E37</f>
        <v>46440</v>
      </c>
      <c r="N12" s="53">
        <f>'Project Weeks (0)'!F37</f>
        <v>46444</v>
      </c>
    </row>
    <row r="13">
      <c r="E13" s="55" t="str">
        <f>'Project Weeks (0)'!D12</f>
        <v>PW09</v>
      </c>
      <c r="F13" s="53">
        <f t="shared" ref="F13:G13" si="7">F12+7</f>
        <v>46265</v>
      </c>
      <c r="G13" s="53">
        <f t="shared" si="7"/>
        <v>46269</v>
      </c>
    </row>
    <row r="15">
      <c r="B15" s="55" t="str">
        <f>TEXT(F15,"MMMM")</f>
        <v>September</v>
      </c>
      <c r="C15" s="55" t="str">
        <f>'Project Weeks (0)'!B13</f>
        <v>PQ1</v>
      </c>
      <c r="D15" s="55" t="str">
        <f>'Project Weeks (0)'!C13</f>
        <v>PM03</v>
      </c>
      <c r="E15" s="55" t="str">
        <f>'Project Weeks (0)'!D13</f>
        <v>PW10</v>
      </c>
      <c r="F15" s="53">
        <f>'Project Weeks (0)'!E13</f>
        <v>46272</v>
      </c>
      <c r="G15" s="53">
        <f>'Project Weeks (0)'!F13</f>
        <v>46276</v>
      </c>
      <c r="I15" s="55" t="str">
        <f>TEXT(M15,"MMMM")</f>
        <v>March</v>
      </c>
      <c r="J15" s="55" t="str">
        <f>'Project Weeks (0)'!B38</f>
        <v>PQ3</v>
      </c>
      <c r="K15" s="55" t="str">
        <f>'Project Weeks (0)'!C38</f>
        <v>PM09</v>
      </c>
      <c r="L15" s="55" t="str">
        <f>'Project Weeks (0)'!D38</f>
        <v>PW35</v>
      </c>
      <c r="M15" s="53">
        <f>'Project Weeks (0)'!E38</f>
        <v>46447</v>
      </c>
      <c r="N15" s="53">
        <f>'Project Weeks (0)'!F38</f>
        <v>46451</v>
      </c>
    </row>
    <row r="16">
      <c r="C16" s="55" t="str">
        <f>'Project Weeks (0)'!B14</f>
        <v/>
      </c>
      <c r="E16" s="55" t="str">
        <f>'Project Weeks (0)'!D14</f>
        <v>PW11</v>
      </c>
      <c r="F16" s="53">
        <f t="shared" ref="F16:G16" si="8">F15+7</f>
        <v>46279</v>
      </c>
      <c r="G16" s="53">
        <f t="shared" si="8"/>
        <v>46283</v>
      </c>
      <c r="L16" s="55" t="str">
        <f>'Project Weeks (0)'!D39</f>
        <v>PW36</v>
      </c>
      <c r="M16" s="53">
        <f>'Project Weeks (0)'!E39</f>
        <v>46454</v>
      </c>
      <c r="N16" s="53">
        <f>'Project Weeks (0)'!F39</f>
        <v>46458</v>
      </c>
    </row>
    <row r="17">
      <c r="C17" s="55" t="str">
        <f>'Project Weeks (0)'!B15</f>
        <v/>
      </c>
      <c r="E17" s="55" t="str">
        <f>'Project Weeks (0)'!D15</f>
        <v>PW12</v>
      </c>
      <c r="F17" s="53">
        <f t="shared" ref="F17:G17" si="9">F16+7</f>
        <v>46286</v>
      </c>
      <c r="G17" s="53">
        <f t="shared" si="9"/>
        <v>46290</v>
      </c>
      <c r="L17" s="55" t="str">
        <f>'Project Weeks (0)'!D40</f>
        <v>PW37</v>
      </c>
      <c r="M17" s="53">
        <f>'Project Weeks (0)'!E40</f>
        <v>46461</v>
      </c>
      <c r="N17" s="53">
        <f>'Project Weeks (0)'!F40</f>
        <v>46465</v>
      </c>
    </row>
    <row r="18">
      <c r="C18" s="55" t="str">
        <f>'Project Weeks (0)'!B16</f>
        <v/>
      </c>
      <c r="E18" s="55" t="str">
        <f>'Project Weeks (0)'!D16</f>
        <v>PW13</v>
      </c>
      <c r="F18" s="53">
        <f t="shared" ref="F18:G18" si="10">F17+7</f>
        <v>46293</v>
      </c>
      <c r="G18" s="53">
        <f t="shared" si="10"/>
        <v>46297</v>
      </c>
      <c r="L18" s="55" t="str">
        <f>'Project Weeks (0)'!D41</f>
        <v>PW38</v>
      </c>
      <c r="M18" s="53">
        <f>'Project Weeks (0)'!E41</f>
        <v>46468</v>
      </c>
      <c r="N18" s="53">
        <f>'Project Weeks (0)'!F41</f>
        <v>46472</v>
      </c>
    </row>
    <row r="19">
      <c r="L19" s="55" t="str">
        <f>'Project Weeks (0)'!D42</f>
        <v>PW39</v>
      </c>
      <c r="M19" s="53">
        <f>'Project Weeks (0)'!E42</f>
        <v>46475</v>
      </c>
      <c r="N19" s="53">
        <f>'Project Weeks (0)'!F42</f>
        <v>46479</v>
      </c>
    </row>
    <row r="20">
      <c r="C20" s="55" t="str">
        <f>'Project Weeks (0)'!B18</f>
        <v/>
      </c>
    </row>
    <row r="21">
      <c r="B21" s="55" t="str">
        <f>TEXT(F21,"MMMM")</f>
        <v>October</v>
      </c>
      <c r="C21" s="55" t="str">
        <f>'Project Weeks (0)'!B17</f>
        <v>PQ2</v>
      </c>
      <c r="D21" s="55" t="str">
        <f>'Project Weeks (0)'!C17</f>
        <v>PM04</v>
      </c>
      <c r="E21" s="55" t="str">
        <f>'Project Weeks (0)'!D17</f>
        <v>PW14</v>
      </c>
      <c r="F21" s="53">
        <f t="shared" ref="F21:G21" si="11">F18+7</f>
        <v>46300</v>
      </c>
      <c r="G21" s="53">
        <f t="shared" si="11"/>
        <v>46304</v>
      </c>
      <c r="I21" s="55" t="str">
        <f>TEXT(M21,"MMMM")</f>
        <v>April</v>
      </c>
      <c r="J21" s="55" t="str">
        <f>'Project Weeks (0)'!B43</f>
        <v>PQ4</v>
      </c>
      <c r="K21" s="55" t="str">
        <f>'Project Weeks (0)'!C43</f>
        <v>PM10</v>
      </c>
      <c r="L21" s="55" t="str">
        <f>'Project Weeks (0)'!D43</f>
        <v>PW40</v>
      </c>
      <c r="M21" s="53">
        <f>'Project Weeks (0)'!E43</f>
        <v>46482</v>
      </c>
      <c r="N21" s="53">
        <f>'Project Weeks (0)'!F43</f>
        <v>46486</v>
      </c>
    </row>
    <row r="22">
      <c r="C22" s="55" t="str">
        <f>'Project Weeks (0)'!B18</f>
        <v/>
      </c>
      <c r="D22" s="55" t="str">
        <f>'Project Weeks (0)'!C18</f>
        <v/>
      </c>
      <c r="E22" s="55" t="str">
        <f>'Project Weeks (0)'!D18</f>
        <v>PW15</v>
      </c>
      <c r="F22" s="53">
        <f t="shared" ref="F22:G22" si="12">F21+7</f>
        <v>46307</v>
      </c>
      <c r="G22" s="53">
        <f t="shared" si="12"/>
        <v>46311</v>
      </c>
      <c r="L22" s="55" t="str">
        <f>'Project Weeks (0)'!D44</f>
        <v>PW41</v>
      </c>
      <c r="M22" s="53">
        <f>'Project Weeks (0)'!E44</f>
        <v>46489</v>
      </c>
      <c r="N22" s="53">
        <f>'Project Weeks (0)'!F44</f>
        <v>46493</v>
      </c>
    </row>
    <row r="23">
      <c r="C23" s="55" t="str">
        <f>'Project Weeks (0)'!B19</f>
        <v/>
      </c>
      <c r="D23" s="55" t="str">
        <f>'Project Weeks (0)'!C19</f>
        <v/>
      </c>
      <c r="E23" s="55" t="str">
        <f>'Project Weeks (0)'!D19</f>
        <v>PW16</v>
      </c>
      <c r="F23" s="53">
        <f t="shared" ref="F23:G23" si="13">F22+7</f>
        <v>46314</v>
      </c>
      <c r="G23" s="53">
        <f t="shared" si="13"/>
        <v>46318</v>
      </c>
      <c r="L23" s="55" t="str">
        <f>'Project Weeks (0)'!D45</f>
        <v>PW42</v>
      </c>
      <c r="M23" s="53">
        <f>'Project Weeks (0)'!E45</f>
        <v>46496</v>
      </c>
      <c r="N23" s="53">
        <f>'Project Weeks (0)'!F45</f>
        <v>46500</v>
      </c>
    </row>
    <row r="24">
      <c r="C24" s="55" t="str">
        <f>'Project Weeks (0)'!B20</f>
        <v/>
      </c>
      <c r="D24" s="55" t="str">
        <f>'Project Weeks (0)'!C20</f>
        <v/>
      </c>
      <c r="E24" s="55" t="str">
        <f>'Project Weeks (0)'!D20</f>
        <v>PW17</v>
      </c>
      <c r="F24" s="53">
        <f t="shared" ref="F24:G24" si="14">F23+7</f>
        <v>46321</v>
      </c>
      <c r="G24" s="53">
        <f t="shared" si="14"/>
        <v>46325</v>
      </c>
      <c r="L24" s="55" t="str">
        <f>'Project Weeks (0)'!D46</f>
        <v>PW43</v>
      </c>
      <c r="M24" s="53">
        <f>'Project Weeks (0)'!E46</f>
        <v>46503</v>
      </c>
      <c r="N24" s="53">
        <f>'Project Weeks (0)'!F46</f>
        <v>46507</v>
      </c>
    </row>
    <row r="25">
      <c r="D25" s="55" t="str">
        <f>'Project Weeks (0)'!C22</f>
        <v/>
      </c>
    </row>
    <row r="26">
      <c r="B26" s="55" t="str">
        <f>TEXT(F26,"MMMM")</f>
        <v>November</v>
      </c>
      <c r="C26" s="55" t="str">
        <f>'Project Weeks (0)'!B21</f>
        <v>PQ2</v>
      </c>
      <c r="D26" s="55" t="str">
        <f>'Project Weeks (0)'!C21</f>
        <v>PM05</v>
      </c>
      <c r="E26" s="55" t="str">
        <f>'Project Weeks (0)'!D21</f>
        <v>PW18</v>
      </c>
      <c r="F26" s="53">
        <f t="shared" ref="F26:G26" si="15">F24+7</f>
        <v>46328</v>
      </c>
      <c r="G26" s="53">
        <f t="shared" si="15"/>
        <v>46332</v>
      </c>
      <c r="I26" s="55" t="str">
        <f>TEXT(M26,"MMMM")</f>
        <v>May</v>
      </c>
      <c r="J26" s="55" t="str">
        <f>'Project Weeks (0)'!B47</f>
        <v>PQ4</v>
      </c>
      <c r="K26" s="55" t="str">
        <f>'Project Weeks (0)'!C47</f>
        <v>PM11</v>
      </c>
      <c r="L26" s="55" t="str">
        <f>'Project Weeks (0)'!D47</f>
        <v>PW44</v>
      </c>
      <c r="M26" s="53">
        <f>'Project Weeks (0)'!E47</f>
        <v>46510</v>
      </c>
      <c r="N26" s="53">
        <f>'Project Weeks (0)'!F47</f>
        <v>46514</v>
      </c>
    </row>
    <row r="27">
      <c r="C27" s="55" t="str">
        <f>'Project Weeks (0)'!B22</f>
        <v/>
      </c>
      <c r="D27" s="55" t="str">
        <f>'Project Weeks (0)'!C22</f>
        <v/>
      </c>
      <c r="E27" s="55" t="str">
        <f>'Project Weeks (0)'!D22</f>
        <v>PW19</v>
      </c>
      <c r="F27" s="53">
        <f>'Project Weeks (0)'!E22</f>
        <v>46335</v>
      </c>
      <c r="G27" s="53">
        <f>'Project Weeks (0)'!F22</f>
        <v>46339</v>
      </c>
      <c r="L27" s="55" t="str">
        <f>'Project Weeks (0)'!D48</f>
        <v>PW45</v>
      </c>
      <c r="M27" s="53">
        <f>'Project Weeks (0)'!E48</f>
        <v>46517</v>
      </c>
      <c r="N27" s="53">
        <f>'Project Weeks (0)'!F48</f>
        <v>46521</v>
      </c>
    </row>
    <row r="28">
      <c r="C28" s="55" t="str">
        <f>'Project Weeks (0)'!B23</f>
        <v/>
      </c>
      <c r="D28" s="55" t="str">
        <f>'Project Weeks (0)'!C23</f>
        <v/>
      </c>
      <c r="E28" s="55" t="str">
        <f>'Project Weeks (0)'!D23</f>
        <v>PW20</v>
      </c>
      <c r="F28" s="53">
        <f>'Project Weeks (0)'!E23</f>
        <v>46342</v>
      </c>
      <c r="G28" s="53">
        <f>'Project Weeks (0)'!F23</f>
        <v>46346</v>
      </c>
      <c r="L28" s="55" t="str">
        <f>'Project Weeks (0)'!D49</f>
        <v>PW46</v>
      </c>
      <c r="M28" s="53">
        <f>'Project Weeks (0)'!E49</f>
        <v>46524</v>
      </c>
      <c r="N28" s="53">
        <f>'Project Weeks (0)'!F49</f>
        <v>46528</v>
      </c>
    </row>
    <row r="29">
      <c r="C29" s="55" t="str">
        <f>'Project Weeks (0)'!B24</f>
        <v/>
      </c>
      <c r="D29" s="55" t="str">
        <f>'Project Weeks (0)'!C24</f>
        <v/>
      </c>
      <c r="E29" s="55" t="str">
        <f>'Project Weeks (0)'!D24</f>
        <v>PW21</v>
      </c>
      <c r="F29" s="53">
        <f>'Project Weeks (0)'!E24</f>
        <v>46349</v>
      </c>
      <c r="G29" s="53">
        <f>'Project Weeks (0)'!F24</f>
        <v>46353</v>
      </c>
      <c r="L29" s="55" t="str">
        <f>'Project Weeks (0)'!D50</f>
        <v>PW47</v>
      </c>
      <c r="M29" s="53">
        <f>'Project Weeks (0)'!E50</f>
        <v>46531</v>
      </c>
      <c r="N29" s="53">
        <f>'Project Weeks (0)'!F50</f>
        <v>46535</v>
      </c>
    </row>
    <row r="30">
      <c r="C30" s="55" t="str">
        <f>'Project Weeks (0)'!B25</f>
        <v/>
      </c>
      <c r="D30" s="55" t="str">
        <f>'Project Weeks (0)'!C25</f>
        <v/>
      </c>
      <c r="E30" s="55" t="str">
        <f>'Project Weeks (0)'!D25</f>
        <v>PW22</v>
      </c>
      <c r="F30" s="53">
        <f>'Project Weeks (0)'!E25</f>
        <v>46356</v>
      </c>
      <c r="G30" s="53">
        <f>'Project Weeks (0)'!F25</f>
        <v>46360</v>
      </c>
      <c r="L30" s="55" t="str">
        <f>'Project Weeks (0)'!D51</f>
        <v>PW48</v>
      </c>
      <c r="M30" s="53">
        <f>'Project Weeks (0)'!E51</f>
        <v>46538</v>
      </c>
      <c r="N30" s="53">
        <f>'Project Weeks (0)'!F51</f>
        <v>46542</v>
      </c>
    </row>
    <row r="32">
      <c r="B32" s="55" t="str">
        <f>TEXT(F32,"MMMM")</f>
        <v>December</v>
      </c>
      <c r="C32" s="55" t="str">
        <f>'Project Weeks (0)'!B26</f>
        <v>PQ3</v>
      </c>
      <c r="D32" s="55" t="str">
        <f>'Project Weeks (0)'!C26</f>
        <v>PM06</v>
      </c>
      <c r="E32" s="55" t="str">
        <f>'Project Weeks (0)'!D26</f>
        <v>PW23</v>
      </c>
      <c r="F32" s="53">
        <f>'Project Weeks (0)'!E26</f>
        <v>46363</v>
      </c>
      <c r="G32" s="53">
        <f>'Project Weeks (0)'!F26</f>
        <v>46367</v>
      </c>
      <c r="I32" s="55" t="str">
        <f>TEXT(M32,"MMMM")</f>
        <v>June</v>
      </c>
      <c r="J32" s="55" t="str">
        <f>'Project Weeks (0)'!B52</f>
        <v>PQ4</v>
      </c>
      <c r="K32" s="55" t="str">
        <f>'Project Weeks (0)'!C52</f>
        <v>PM12</v>
      </c>
      <c r="L32" s="55" t="str">
        <f>'Project Weeks (0)'!D52</f>
        <v>PW49</v>
      </c>
      <c r="M32" s="53">
        <f>'Project Weeks (0)'!E52</f>
        <v>46545</v>
      </c>
      <c r="N32" s="53">
        <f>'Project Weeks (0)'!F52</f>
        <v>46549</v>
      </c>
    </row>
    <row r="33">
      <c r="E33" s="55" t="str">
        <f>'Project Weeks (0)'!D27</f>
        <v>PW24</v>
      </c>
      <c r="F33" s="53">
        <f>'Project Weeks (0)'!E27</f>
        <v>46370</v>
      </c>
      <c r="G33" s="53">
        <f>'Project Weeks (0)'!F27</f>
        <v>46374</v>
      </c>
      <c r="L33" s="55" t="str">
        <f>'Project Weeks (0)'!D53</f>
        <v>PW50</v>
      </c>
      <c r="M33" s="53">
        <f>'Project Weeks (0)'!E53</f>
        <v>46552</v>
      </c>
      <c r="N33" s="53">
        <f>'Project Weeks (0)'!F53</f>
        <v>46556</v>
      </c>
    </row>
    <row r="34">
      <c r="E34" s="55" t="str">
        <f>'Project Weeks (0)'!D28</f>
        <v>PW25</v>
      </c>
      <c r="F34" s="53">
        <f>'Project Weeks (0)'!E28</f>
        <v>46377</v>
      </c>
      <c r="G34" s="53">
        <f>'Project Weeks (0)'!F28</f>
        <v>46381</v>
      </c>
      <c r="L34" s="55" t="str">
        <f>'Project Weeks (0)'!D54</f>
        <v>PW51</v>
      </c>
      <c r="M34" s="53">
        <f>'Project Weeks (0)'!E54</f>
        <v>46559</v>
      </c>
      <c r="N34" s="53">
        <f>'Project Weeks (0)'!F54</f>
        <v>46563</v>
      </c>
    </row>
    <row r="35">
      <c r="E35" s="55" t="str">
        <f>'Project Weeks (0)'!D29</f>
        <v>PW26</v>
      </c>
      <c r="F35" s="53">
        <f>'Project Weeks (0)'!E29</f>
        <v>46384</v>
      </c>
      <c r="G35" s="53">
        <f>'Project Weeks (0)'!F29</f>
        <v>46388</v>
      </c>
      <c r="L35" s="55" t="str">
        <f>'Project Weeks (0)'!D55</f>
        <v>PW52</v>
      </c>
      <c r="M35" s="53">
        <f>'Project Weeks (0)'!E55</f>
        <v>46566</v>
      </c>
      <c r="N35" s="53">
        <f>'Project Weeks (0)'!F55</f>
        <v>46570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5.5"/>
    <col customWidth="1" min="5" max="5" width="1.88"/>
    <col customWidth="1" min="6" max="8" width="5.5"/>
    <col customWidth="1" min="9" max="9" width="2.38"/>
    <col customWidth="1" min="10" max="12" width="5.5"/>
    <col customWidth="1" min="13" max="13" width="2.13"/>
    <col customWidth="1" min="14" max="16" width="5.5"/>
    <col customWidth="1" min="17" max="17" width="11.75"/>
    <col customWidth="1" min="18" max="18" width="10.5"/>
  </cols>
  <sheetData>
    <row r="3">
      <c r="B3" s="64"/>
      <c r="C3" s="8" t="s">
        <v>14</v>
      </c>
      <c r="D3" s="65"/>
      <c r="E3" s="67"/>
      <c r="F3" s="67"/>
      <c r="G3" s="8" t="s">
        <v>16</v>
      </c>
      <c r="H3" s="67"/>
      <c r="I3" s="67"/>
      <c r="J3" s="67"/>
      <c r="K3" s="8" t="s">
        <v>17</v>
      </c>
      <c r="L3" s="67"/>
      <c r="M3" s="67"/>
      <c r="N3" s="67"/>
      <c r="O3" s="8" t="s">
        <v>18</v>
      </c>
      <c r="P3" s="67"/>
      <c r="Q3" s="65"/>
    </row>
    <row r="4">
      <c r="B4" s="69" t="s">
        <v>77</v>
      </c>
      <c r="C4" s="70" t="s">
        <v>80</v>
      </c>
      <c r="D4" s="71" t="s">
        <v>83</v>
      </c>
      <c r="E4" s="70"/>
      <c r="F4" s="70" t="s">
        <v>84</v>
      </c>
      <c r="G4" s="70" t="s">
        <v>85</v>
      </c>
      <c r="H4" s="70" t="s">
        <v>86</v>
      </c>
      <c r="I4" s="70"/>
      <c r="J4" s="70" t="s">
        <v>87</v>
      </c>
      <c r="K4" s="70" t="s">
        <v>88</v>
      </c>
      <c r="L4" s="70" t="s">
        <v>89</v>
      </c>
      <c r="M4" s="70"/>
      <c r="N4" s="70" t="s">
        <v>90</v>
      </c>
      <c r="O4" s="70" t="s">
        <v>91</v>
      </c>
      <c r="P4" s="70" t="s">
        <v>92</v>
      </c>
      <c r="Q4" s="71" t="s">
        <v>145</v>
      </c>
    </row>
    <row r="5">
      <c r="B5" s="25"/>
      <c r="D5" s="26"/>
      <c r="Q5" s="26"/>
    </row>
    <row r="6">
      <c r="B6" s="30" t="s">
        <v>105</v>
      </c>
      <c r="C6" s="27" t="s">
        <v>113</v>
      </c>
      <c r="D6" s="72" t="s">
        <v>121</v>
      </c>
      <c r="E6" s="27"/>
      <c r="F6" s="27" t="s">
        <v>128</v>
      </c>
      <c r="G6" s="27" t="s">
        <v>133</v>
      </c>
      <c r="H6" s="27" t="s">
        <v>139</v>
      </c>
      <c r="I6" s="27"/>
      <c r="J6" s="27" t="s">
        <v>143</v>
      </c>
      <c r="K6" s="27" t="s">
        <v>148</v>
      </c>
      <c r="L6" s="27" t="s">
        <v>149</v>
      </c>
      <c r="M6" s="27"/>
      <c r="N6" s="27" t="s">
        <v>150</v>
      </c>
      <c r="O6" s="27" t="s">
        <v>151</v>
      </c>
      <c r="P6" s="27" t="s">
        <v>152</v>
      </c>
      <c r="Q6" s="26"/>
    </row>
    <row r="7">
      <c r="B7" s="30" t="s">
        <v>107</v>
      </c>
      <c r="C7" s="27" t="s">
        <v>114</v>
      </c>
      <c r="D7" s="72" t="s">
        <v>122</v>
      </c>
      <c r="E7" s="27"/>
      <c r="F7" s="27" t="s">
        <v>129</v>
      </c>
      <c r="G7" s="27" t="s">
        <v>134</v>
      </c>
      <c r="H7" s="27" t="s">
        <v>140</v>
      </c>
      <c r="I7" s="27"/>
      <c r="J7" s="27" t="s">
        <v>144</v>
      </c>
      <c r="K7" s="27" t="s">
        <v>153</v>
      </c>
      <c r="L7" s="27" t="s">
        <v>155</v>
      </c>
      <c r="M7" s="27"/>
      <c r="N7" s="27" t="s">
        <v>157</v>
      </c>
      <c r="O7" s="27" t="s">
        <v>158</v>
      </c>
      <c r="P7" s="27" t="s">
        <v>159</v>
      </c>
      <c r="Q7" s="26"/>
    </row>
    <row r="8">
      <c r="B8" s="30" t="s">
        <v>110</v>
      </c>
      <c r="C8" s="27" t="s">
        <v>116</v>
      </c>
      <c r="D8" s="72" t="s">
        <v>125</v>
      </c>
      <c r="E8" s="27"/>
      <c r="F8" s="27" t="s">
        <v>131</v>
      </c>
      <c r="G8" s="27" t="s">
        <v>135</v>
      </c>
      <c r="H8" s="27" t="s">
        <v>141</v>
      </c>
      <c r="I8" s="27"/>
      <c r="J8" s="27" t="s">
        <v>146</v>
      </c>
      <c r="K8" s="27" t="s">
        <v>154</v>
      </c>
      <c r="L8" s="27" t="s">
        <v>160</v>
      </c>
      <c r="M8" s="27"/>
      <c r="N8" s="27" t="s">
        <v>161</v>
      </c>
      <c r="O8" s="27" t="s">
        <v>162</v>
      </c>
      <c r="P8" s="27" t="s">
        <v>163</v>
      </c>
      <c r="Q8" s="26"/>
    </row>
    <row r="9">
      <c r="B9" s="30" t="s">
        <v>112</v>
      </c>
      <c r="C9" s="27" t="s">
        <v>117</v>
      </c>
      <c r="D9" s="72" t="s">
        <v>126</v>
      </c>
      <c r="E9" s="27"/>
      <c r="F9" s="27" t="s">
        <v>132</v>
      </c>
      <c r="G9" s="27" t="s">
        <v>136</v>
      </c>
      <c r="H9" s="27" t="s">
        <v>142</v>
      </c>
      <c r="I9" s="27"/>
      <c r="J9" s="27" t="s">
        <v>147</v>
      </c>
      <c r="K9" s="27" t="s">
        <v>156</v>
      </c>
      <c r="L9" s="27" t="s">
        <v>164</v>
      </c>
      <c r="M9" s="27"/>
      <c r="N9" s="27" t="s">
        <v>165</v>
      </c>
      <c r="O9" s="27" t="s">
        <v>166</v>
      </c>
      <c r="P9" s="27" t="s">
        <v>167</v>
      </c>
      <c r="Q9" s="26"/>
    </row>
    <row r="10">
      <c r="B10" s="25"/>
      <c r="C10" s="27" t="s">
        <v>119</v>
      </c>
      <c r="D10" s="26"/>
      <c r="G10" s="27" t="s">
        <v>137</v>
      </c>
      <c r="L10" s="27" t="s">
        <v>168</v>
      </c>
      <c r="O10" s="27" t="s">
        <v>169</v>
      </c>
      <c r="Q10" s="26"/>
    </row>
    <row r="11">
      <c r="B11" s="25"/>
      <c r="D11" s="26"/>
      <c r="Q11" s="26"/>
    </row>
    <row r="12">
      <c r="B12" s="25">
        <f t="shared" ref="B12:D12" si="1">COUNTA(B6:B10)</f>
        <v>4</v>
      </c>
      <c r="C12" s="55">
        <f t="shared" si="1"/>
        <v>5</v>
      </c>
      <c r="D12" s="26">
        <f t="shared" si="1"/>
        <v>4</v>
      </c>
      <c r="F12" s="55">
        <f t="shared" ref="F12:H12" si="2">COUNTA(F6:F10)</f>
        <v>4</v>
      </c>
      <c r="G12" s="55">
        <f t="shared" si="2"/>
        <v>5</v>
      </c>
      <c r="H12" s="55">
        <f t="shared" si="2"/>
        <v>4</v>
      </c>
      <c r="J12" s="55">
        <f t="shared" ref="J12:L12" si="3">COUNTA(J6:J10)</f>
        <v>4</v>
      </c>
      <c r="K12" s="55">
        <f t="shared" si="3"/>
        <v>4</v>
      </c>
      <c r="L12" s="55">
        <f t="shared" si="3"/>
        <v>5</v>
      </c>
      <c r="N12" s="55">
        <f t="shared" ref="N12:P12" si="4">COUNTA(N6:N10)</f>
        <v>4</v>
      </c>
      <c r="O12" s="55">
        <f t="shared" si="4"/>
        <v>5</v>
      </c>
      <c r="P12" s="55">
        <f t="shared" si="4"/>
        <v>4</v>
      </c>
      <c r="Q12" s="26">
        <f>sum(B12:P12)</f>
        <v>52</v>
      </c>
    </row>
    <row r="13">
      <c r="B13" s="44">
        <f>A12+B12</f>
        <v>4</v>
      </c>
      <c r="C13" s="45">
        <f t="shared" ref="C13:D13" si="5">B13+C12</f>
        <v>9</v>
      </c>
      <c r="D13" s="46">
        <f t="shared" si="5"/>
        <v>13</v>
      </c>
      <c r="E13" s="45"/>
      <c r="F13" s="45">
        <f>D13+F12</f>
        <v>17</v>
      </c>
      <c r="G13" s="45">
        <f t="shared" ref="G13:H13" si="6">F13+G12</f>
        <v>22</v>
      </c>
      <c r="H13" s="45">
        <f t="shared" si="6"/>
        <v>26</v>
      </c>
      <c r="I13" s="45"/>
      <c r="J13" s="45">
        <f>H13+J12</f>
        <v>30</v>
      </c>
      <c r="K13" s="45">
        <f t="shared" ref="K13:L13" si="7">J13+K12</f>
        <v>34</v>
      </c>
      <c r="L13" s="45">
        <f t="shared" si="7"/>
        <v>39</v>
      </c>
      <c r="M13" s="45"/>
      <c r="N13" s="45">
        <f>L13+N12</f>
        <v>43</v>
      </c>
      <c r="O13" s="45">
        <f t="shared" ref="O13:P13" si="8">N13+O12</f>
        <v>48</v>
      </c>
      <c r="P13" s="45">
        <f t="shared" si="8"/>
        <v>52</v>
      </c>
      <c r="Q13" s="76">
        <f>P13-Q12</f>
        <v>0</v>
      </c>
      <c r="R13" s="27" t="s">
        <v>171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13"/>
    <col customWidth="1" min="3" max="3" width="13.63"/>
    <col customWidth="1" min="4" max="4" width="12.13"/>
    <col customWidth="1" min="5" max="5" width="10.88"/>
    <col customWidth="1" min="6" max="10" width="9.38"/>
    <col customWidth="1" min="11" max="11" width="4.88"/>
    <col customWidth="1" min="12" max="12" width="13.13"/>
    <col customWidth="1" min="13" max="13" width="13.63"/>
    <col customWidth="1" min="14" max="14" width="12.13"/>
    <col customWidth="1" min="15" max="15" width="5.25"/>
    <col customWidth="1" min="16" max="21" width="9.38"/>
  </cols>
  <sheetData>
    <row r="2">
      <c r="B2" s="3" t="s">
        <v>98</v>
      </c>
      <c r="C2" s="78" t="s">
        <v>109</v>
      </c>
      <c r="D2" s="78" t="s">
        <v>58</v>
      </c>
      <c r="E2" s="79"/>
      <c r="F2" s="79"/>
      <c r="G2" s="79"/>
      <c r="H2" s="79"/>
      <c r="I2" s="79"/>
      <c r="J2" s="80"/>
      <c r="L2" s="3" t="s">
        <v>98</v>
      </c>
      <c r="M2" s="78" t="s">
        <v>109</v>
      </c>
      <c r="N2" s="78" t="s">
        <v>58</v>
      </c>
      <c r="O2" s="79"/>
      <c r="P2" s="79"/>
      <c r="Q2" s="79"/>
      <c r="R2" s="79"/>
      <c r="S2" s="79"/>
      <c r="T2" s="81"/>
      <c r="U2" s="82"/>
    </row>
    <row r="3">
      <c r="A3" s="27"/>
      <c r="B3" s="6"/>
      <c r="D3" s="27"/>
      <c r="E3" s="27"/>
      <c r="J3" s="21"/>
      <c r="L3" s="6"/>
      <c r="N3" s="27"/>
      <c r="O3" s="27"/>
      <c r="T3" s="26"/>
    </row>
    <row r="4">
      <c r="A4" s="27"/>
      <c r="B4" s="83" t="s">
        <v>103</v>
      </c>
      <c r="C4" s="84" t="str">
        <f>TEXT(F5, "MMMM")</f>
        <v>July</v>
      </c>
      <c r="D4" s="85" t="s">
        <v>77</v>
      </c>
      <c r="E4" s="85" t="s">
        <v>66</v>
      </c>
      <c r="F4" s="84" t="str">
        <f t="array" ref="F4:I6">transpose('Project Weeks (0)'!D4:F7)</f>
        <v>PW01</v>
      </c>
      <c r="G4" s="84" t="s">
        <v>107</v>
      </c>
      <c r="H4" s="84" t="s">
        <v>110</v>
      </c>
      <c r="I4" s="84" t="s">
        <v>112</v>
      </c>
      <c r="J4" s="23"/>
      <c r="L4" s="83" t="s">
        <v>138</v>
      </c>
      <c r="M4" s="84" t="str">
        <f>TEXT(P5, "MMMM")</f>
        <v>January</v>
      </c>
      <c r="N4" s="85" t="s">
        <v>87</v>
      </c>
      <c r="O4" s="85" t="s">
        <v>173</v>
      </c>
      <c r="P4" s="84" t="str">
        <f t="array" ref="P4:S6">transpose('Project Weeks (0)'!D30:F33)</f>
        <v>PW27</v>
      </c>
      <c r="Q4" s="84" t="s">
        <v>144</v>
      </c>
      <c r="R4" s="84" t="s">
        <v>146</v>
      </c>
      <c r="S4" s="84" t="s">
        <v>147</v>
      </c>
      <c r="T4" s="86"/>
    </row>
    <row r="5">
      <c r="B5" s="21"/>
      <c r="E5" s="27" t="s">
        <v>108</v>
      </c>
      <c r="F5" s="53">
        <v>46209.0</v>
      </c>
      <c r="G5" s="53">
        <v>46216.0</v>
      </c>
      <c r="H5" s="53">
        <v>46223.0</v>
      </c>
      <c r="I5" s="53">
        <v>46230.0</v>
      </c>
      <c r="J5" s="21"/>
      <c r="L5" s="21"/>
      <c r="O5" s="27" t="s">
        <v>108</v>
      </c>
      <c r="P5" s="53">
        <v>46391.0</v>
      </c>
      <c r="Q5" s="53">
        <v>46398.0</v>
      </c>
      <c r="R5" s="53">
        <v>46405.0</v>
      </c>
      <c r="S5" s="53">
        <v>46412.0</v>
      </c>
      <c r="T5" s="26"/>
    </row>
    <row r="6">
      <c r="B6" s="21"/>
      <c r="E6" s="27" t="s">
        <v>101</v>
      </c>
      <c r="F6" s="53">
        <v>46213.0</v>
      </c>
      <c r="G6" s="53">
        <v>46220.0</v>
      </c>
      <c r="H6" s="53">
        <v>46227.0</v>
      </c>
      <c r="I6" s="53">
        <v>46234.0</v>
      </c>
      <c r="J6" s="21"/>
      <c r="L6" s="21"/>
      <c r="O6" s="27" t="s">
        <v>101</v>
      </c>
      <c r="P6" s="53">
        <v>46395.0</v>
      </c>
      <c r="Q6" s="53">
        <v>46402.0</v>
      </c>
      <c r="R6" s="53">
        <v>46409.0</v>
      </c>
      <c r="S6" s="53">
        <v>46416.0</v>
      </c>
      <c r="T6" s="26"/>
    </row>
    <row r="7">
      <c r="B7" s="21"/>
      <c r="J7" s="21"/>
      <c r="L7" s="21"/>
      <c r="T7" s="26"/>
    </row>
    <row r="8">
      <c r="B8" s="21"/>
      <c r="C8" s="55" t="str">
        <f>TEXT(F9, "MMMM")</f>
        <v>August</v>
      </c>
      <c r="D8" s="27" t="s">
        <v>80</v>
      </c>
      <c r="E8" s="27" t="s">
        <v>173</v>
      </c>
      <c r="F8" s="55" t="str">
        <f t="array" ref="F8:J10">transpose('Project Weeks (0)'!D8:F12)</f>
        <v>PW05</v>
      </c>
      <c r="G8" s="55" t="s">
        <v>114</v>
      </c>
      <c r="H8" s="55" t="s">
        <v>116</v>
      </c>
      <c r="I8" s="55" t="s">
        <v>117</v>
      </c>
      <c r="J8" s="21" t="s">
        <v>119</v>
      </c>
      <c r="L8" s="21"/>
      <c r="M8" s="55" t="str">
        <f>TEXT(P9, "MMMM")</f>
        <v>February</v>
      </c>
      <c r="N8" s="27" t="s">
        <v>88</v>
      </c>
      <c r="O8" s="27" t="s">
        <v>173</v>
      </c>
      <c r="P8" s="55" t="str">
        <f t="array" ref="P8:S10">transpose('Project Weeks (0)'!D34:F37)</f>
        <v>PW31</v>
      </c>
      <c r="Q8" s="55" t="s">
        <v>153</v>
      </c>
      <c r="R8" s="55" t="s">
        <v>154</v>
      </c>
      <c r="S8" s="55" t="s">
        <v>156</v>
      </c>
      <c r="T8" s="26"/>
    </row>
    <row r="9">
      <c r="B9" s="21"/>
      <c r="E9" s="27" t="s">
        <v>108</v>
      </c>
      <c r="F9" s="53">
        <v>46237.0</v>
      </c>
      <c r="G9" s="53">
        <v>46244.0</v>
      </c>
      <c r="H9" s="53">
        <v>46251.0</v>
      </c>
      <c r="I9" s="53">
        <v>46258.0</v>
      </c>
      <c r="J9" s="87">
        <v>46265.0</v>
      </c>
      <c r="L9" s="21"/>
      <c r="O9" s="27" t="s">
        <v>108</v>
      </c>
      <c r="P9" s="53">
        <v>46419.0</v>
      </c>
      <c r="Q9" s="53">
        <v>46426.0</v>
      </c>
      <c r="R9" s="53">
        <v>46433.0</v>
      </c>
      <c r="S9" s="53">
        <v>46440.0</v>
      </c>
      <c r="T9" s="26"/>
    </row>
    <row r="10">
      <c r="B10" s="21"/>
      <c r="E10" s="27" t="s">
        <v>101</v>
      </c>
      <c r="F10" s="53">
        <v>46241.0</v>
      </c>
      <c r="G10" s="53">
        <v>46248.0</v>
      </c>
      <c r="H10" s="53">
        <v>46255.0</v>
      </c>
      <c r="I10" s="53">
        <v>46262.0</v>
      </c>
      <c r="J10" s="87">
        <v>46269.0</v>
      </c>
      <c r="L10" s="21"/>
      <c r="O10" s="27" t="s">
        <v>101</v>
      </c>
      <c r="P10" s="53">
        <v>46423.0</v>
      </c>
      <c r="Q10" s="53">
        <v>46430.0</v>
      </c>
      <c r="R10" s="53">
        <v>46437.0</v>
      </c>
      <c r="S10" s="53">
        <v>46444.0</v>
      </c>
      <c r="T10" s="26"/>
    </row>
    <row r="11">
      <c r="B11" s="21"/>
      <c r="J11" s="21"/>
      <c r="L11" s="21"/>
      <c r="T11" s="26"/>
    </row>
    <row r="12">
      <c r="B12" s="21"/>
      <c r="C12" s="55" t="str">
        <f>TEXT(F13, "MMMM")</f>
        <v>September</v>
      </c>
      <c r="D12" s="27" t="s">
        <v>83</v>
      </c>
      <c r="E12" s="27" t="s">
        <v>173</v>
      </c>
      <c r="F12" s="55" t="str">
        <f t="array" ref="F12:I14">transpose('Project Weeks (0)'!D13:F16)</f>
        <v>PW10</v>
      </c>
      <c r="G12" s="55" t="s">
        <v>122</v>
      </c>
      <c r="H12" s="55" t="s">
        <v>125</v>
      </c>
      <c r="I12" s="55" t="s">
        <v>126</v>
      </c>
      <c r="J12" s="21"/>
      <c r="L12" s="21"/>
      <c r="M12" s="55" t="str">
        <f>TEXT(P13, "MMMM")</f>
        <v>March</v>
      </c>
      <c r="N12" s="27" t="s">
        <v>89</v>
      </c>
      <c r="O12" s="27" t="s">
        <v>173</v>
      </c>
      <c r="P12" s="55" t="str">
        <f t="array" ref="P12:T14">transpose('Project Weeks (0)'!D38:F42)</f>
        <v>PW35</v>
      </c>
      <c r="Q12" s="55" t="s">
        <v>155</v>
      </c>
      <c r="R12" s="55" t="s">
        <v>160</v>
      </c>
      <c r="S12" s="55" t="s">
        <v>164</v>
      </c>
      <c r="T12" s="26" t="s">
        <v>168</v>
      </c>
    </row>
    <row r="13">
      <c r="B13" s="21"/>
      <c r="E13" s="27" t="s">
        <v>108</v>
      </c>
      <c r="F13" s="53">
        <v>46272.0</v>
      </c>
      <c r="G13" s="53">
        <v>46279.0</v>
      </c>
      <c r="H13" s="53">
        <v>46286.0</v>
      </c>
      <c r="I13" s="53">
        <v>46293.0</v>
      </c>
      <c r="J13" s="21"/>
      <c r="L13" s="21"/>
      <c r="O13" s="27" t="s">
        <v>108</v>
      </c>
      <c r="P13" s="53">
        <v>46447.0</v>
      </c>
      <c r="Q13" s="53">
        <v>46454.0</v>
      </c>
      <c r="R13" s="53">
        <v>46461.0</v>
      </c>
      <c r="S13" s="53">
        <v>46468.0</v>
      </c>
      <c r="T13" s="88">
        <v>46475.0</v>
      </c>
    </row>
    <row r="14">
      <c r="B14" s="16"/>
      <c r="C14" s="45"/>
      <c r="D14" s="45"/>
      <c r="E14" s="89" t="s">
        <v>101</v>
      </c>
      <c r="F14" s="90">
        <v>46276.0</v>
      </c>
      <c r="G14" s="90">
        <v>46283.0</v>
      </c>
      <c r="H14" s="90">
        <v>46290.0</v>
      </c>
      <c r="I14" s="90">
        <v>46297.0</v>
      </c>
      <c r="J14" s="16"/>
      <c r="L14" s="16"/>
      <c r="M14" s="45"/>
      <c r="N14" s="45"/>
      <c r="O14" s="89" t="s">
        <v>101</v>
      </c>
      <c r="P14" s="90">
        <v>46451.0</v>
      </c>
      <c r="Q14" s="90">
        <v>46458.0</v>
      </c>
      <c r="R14" s="90">
        <v>46465.0</v>
      </c>
      <c r="S14" s="90">
        <v>46472.0</v>
      </c>
      <c r="T14" s="91">
        <v>46479.0</v>
      </c>
    </row>
    <row r="15">
      <c r="B15" s="21"/>
      <c r="J15" s="21"/>
      <c r="L15" s="21"/>
      <c r="T15" s="26"/>
    </row>
    <row r="16">
      <c r="A16" s="27"/>
      <c r="B16" s="83" t="s">
        <v>127</v>
      </c>
      <c r="C16" s="84" t="str">
        <f>TEXT(F17, "MMMM")</f>
        <v>October</v>
      </c>
      <c r="D16" s="85" t="s">
        <v>84</v>
      </c>
      <c r="E16" s="85" t="s">
        <v>173</v>
      </c>
      <c r="F16" s="84" t="str">
        <f t="array" ref="F16:I18">transpose('Project Weeks (0)'!D17:F20)</f>
        <v>PW14</v>
      </c>
      <c r="G16" s="84" t="s">
        <v>129</v>
      </c>
      <c r="H16" s="84" t="s">
        <v>131</v>
      </c>
      <c r="I16" s="84" t="s">
        <v>132</v>
      </c>
      <c r="J16" s="23"/>
      <c r="L16" s="83" t="s">
        <v>170</v>
      </c>
      <c r="M16" s="84" t="str">
        <f>TEXT(P17, "MMMM")</f>
        <v>April</v>
      </c>
      <c r="N16" s="85" t="s">
        <v>90</v>
      </c>
      <c r="O16" s="85" t="s">
        <v>173</v>
      </c>
      <c r="P16" s="84" t="str">
        <f t="array" ref="P16:S18">transpose('Project Weeks (0)'!D43:F46)</f>
        <v>PW40</v>
      </c>
      <c r="Q16" s="84" t="s">
        <v>157</v>
      </c>
      <c r="R16" s="84" t="s">
        <v>161</v>
      </c>
      <c r="S16" s="84" t="s">
        <v>165</v>
      </c>
      <c r="T16" s="86"/>
    </row>
    <row r="17">
      <c r="B17" s="21"/>
      <c r="E17" s="27" t="s">
        <v>108</v>
      </c>
      <c r="F17" s="53">
        <v>46300.0</v>
      </c>
      <c r="G17" s="53">
        <v>46307.0</v>
      </c>
      <c r="H17" s="53">
        <v>46314.0</v>
      </c>
      <c r="I17" s="53">
        <v>46321.0</v>
      </c>
      <c r="J17" s="21"/>
      <c r="L17" s="21"/>
      <c r="O17" s="27" t="s">
        <v>108</v>
      </c>
      <c r="P17" s="53">
        <v>46482.0</v>
      </c>
      <c r="Q17" s="53">
        <v>46489.0</v>
      </c>
      <c r="R17" s="53">
        <v>46496.0</v>
      </c>
      <c r="S17" s="53">
        <v>46503.0</v>
      </c>
      <c r="T17" s="26"/>
    </row>
    <row r="18">
      <c r="B18" s="21"/>
      <c r="E18" s="27" t="s">
        <v>101</v>
      </c>
      <c r="F18" s="53">
        <v>46304.0</v>
      </c>
      <c r="G18" s="53">
        <v>46311.0</v>
      </c>
      <c r="H18" s="53">
        <v>46318.0</v>
      </c>
      <c r="I18" s="53">
        <v>46325.0</v>
      </c>
      <c r="J18" s="21"/>
      <c r="L18" s="21"/>
      <c r="O18" s="27" t="s">
        <v>101</v>
      </c>
      <c r="P18" s="53">
        <v>46486.0</v>
      </c>
      <c r="Q18" s="53">
        <v>46493.0</v>
      </c>
      <c r="R18" s="53">
        <v>46500.0</v>
      </c>
      <c r="S18" s="53">
        <v>46507.0</v>
      </c>
      <c r="T18" s="26"/>
    </row>
    <row r="19">
      <c r="B19" s="21"/>
      <c r="J19" s="21"/>
      <c r="L19" s="21"/>
      <c r="T19" s="26"/>
    </row>
    <row r="20">
      <c r="B20" s="21"/>
      <c r="C20" s="55" t="str">
        <f>TEXT(F21, "MMMM")</f>
        <v>November</v>
      </c>
      <c r="D20" s="27" t="s">
        <v>85</v>
      </c>
      <c r="E20" s="27" t="s">
        <v>173</v>
      </c>
      <c r="F20" s="55" t="str">
        <f t="array" ref="F20:J22">transpose('Project Weeks (0)'!D21:F25)</f>
        <v>PW18</v>
      </c>
      <c r="G20" s="55" t="s">
        <v>134</v>
      </c>
      <c r="H20" s="55" t="s">
        <v>135</v>
      </c>
      <c r="I20" s="55" t="s">
        <v>136</v>
      </c>
      <c r="J20" s="21" t="s">
        <v>137</v>
      </c>
      <c r="L20" s="21"/>
      <c r="M20" s="55" t="str">
        <f>TEXT(P21, "MMMM")</f>
        <v>May</v>
      </c>
      <c r="N20" s="27" t="s">
        <v>90</v>
      </c>
      <c r="O20" s="27" t="s">
        <v>173</v>
      </c>
      <c r="P20" s="55" t="str">
        <f t="array" ref="P20:T22">transpose('Project Weeks (0)'!D47:F51)</f>
        <v>PW44</v>
      </c>
      <c r="Q20" s="55" t="s">
        <v>158</v>
      </c>
      <c r="R20" s="55" t="s">
        <v>162</v>
      </c>
      <c r="S20" s="55" t="s">
        <v>166</v>
      </c>
      <c r="T20" s="26" t="s">
        <v>169</v>
      </c>
    </row>
    <row r="21">
      <c r="B21" s="21"/>
      <c r="E21" s="27" t="s">
        <v>108</v>
      </c>
      <c r="F21" s="53">
        <v>46328.0</v>
      </c>
      <c r="G21" s="53">
        <v>46335.0</v>
      </c>
      <c r="H21" s="53">
        <v>46342.0</v>
      </c>
      <c r="I21" s="53">
        <v>46349.0</v>
      </c>
      <c r="J21" s="87">
        <v>46356.0</v>
      </c>
      <c r="L21" s="21"/>
      <c r="O21" s="27" t="s">
        <v>108</v>
      </c>
      <c r="P21" s="53">
        <v>46510.0</v>
      </c>
      <c r="Q21" s="53">
        <v>46517.0</v>
      </c>
      <c r="R21" s="53">
        <v>46524.0</v>
      </c>
      <c r="S21" s="53">
        <v>46531.0</v>
      </c>
      <c r="T21" s="88">
        <v>46538.0</v>
      </c>
    </row>
    <row r="22">
      <c r="B22" s="21"/>
      <c r="E22" s="27" t="s">
        <v>101</v>
      </c>
      <c r="F22" s="53">
        <v>46332.0</v>
      </c>
      <c r="G22" s="53">
        <v>46339.0</v>
      </c>
      <c r="H22" s="53">
        <v>46346.0</v>
      </c>
      <c r="I22" s="53">
        <v>46353.0</v>
      </c>
      <c r="J22" s="87">
        <v>46360.0</v>
      </c>
      <c r="L22" s="21"/>
      <c r="O22" s="27" t="s">
        <v>101</v>
      </c>
      <c r="P22" s="53">
        <v>46514.0</v>
      </c>
      <c r="Q22" s="53">
        <v>46521.0</v>
      </c>
      <c r="R22" s="53">
        <v>46528.0</v>
      </c>
      <c r="S22" s="53">
        <v>46535.0</v>
      </c>
      <c r="T22" s="88">
        <v>46542.0</v>
      </c>
    </row>
    <row r="23">
      <c r="B23" s="21"/>
      <c r="J23" s="21"/>
      <c r="L23" s="21"/>
      <c r="T23" s="26"/>
    </row>
    <row r="24">
      <c r="B24" s="21"/>
      <c r="C24" s="55" t="str">
        <f>TEXT(F25, "MMMM")</f>
        <v>December</v>
      </c>
      <c r="D24" s="27" t="s">
        <v>86</v>
      </c>
      <c r="E24" s="27" t="s">
        <v>173</v>
      </c>
      <c r="F24" s="55" t="str">
        <f t="array" ref="F24:I26">transpose('Project Weeks (0)'!D26:F29)</f>
        <v>PW23</v>
      </c>
      <c r="G24" s="55" t="s">
        <v>140</v>
      </c>
      <c r="H24" s="55" t="s">
        <v>141</v>
      </c>
      <c r="I24" s="55" t="s">
        <v>142</v>
      </c>
      <c r="J24" s="21"/>
      <c r="L24" s="21"/>
      <c r="M24" s="55" t="str">
        <f>TEXT(P25, "MMMM")</f>
        <v>June</v>
      </c>
      <c r="N24" s="27" t="s">
        <v>90</v>
      </c>
      <c r="O24" s="27" t="s">
        <v>173</v>
      </c>
      <c r="P24" s="55" t="str">
        <f t="array" ref="P24:S26">transpose('Project Weeks (0)'!D52:F55)</f>
        <v>PW49</v>
      </c>
      <c r="Q24" s="55" t="s">
        <v>159</v>
      </c>
      <c r="R24" s="55" t="s">
        <v>163</v>
      </c>
      <c r="S24" s="55" t="s">
        <v>167</v>
      </c>
      <c r="T24" s="26"/>
    </row>
    <row r="25">
      <c r="B25" s="21"/>
      <c r="E25" s="27" t="s">
        <v>108</v>
      </c>
      <c r="F25" s="53">
        <v>46363.0</v>
      </c>
      <c r="G25" s="53">
        <v>46370.0</v>
      </c>
      <c r="H25" s="53">
        <v>46377.0</v>
      </c>
      <c r="I25" s="53">
        <v>46384.0</v>
      </c>
      <c r="J25" s="21"/>
      <c r="L25" s="21"/>
      <c r="O25" s="27" t="s">
        <v>108</v>
      </c>
      <c r="P25" s="53">
        <v>46545.0</v>
      </c>
      <c r="Q25" s="53">
        <v>46552.0</v>
      </c>
      <c r="R25" s="53">
        <v>46559.0</v>
      </c>
      <c r="S25" s="53">
        <v>46566.0</v>
      </c>
      <c r="T25" s="26"/>
    </row>
    <row r="26">
      <c r="B26" s="16"/>
      <c r="C26" s="45"/>
      <c r="D26" s="45"/>
      <c r="E26" s="89" t="s">
        <v>101</v>
      </c>
      <c r="F26" s="90">
        <v>46367.0</v>
      </c>
      <c r="G26" s="90">
        <v>46374.0</v>
      </c>
      <c r="H26" s="90">
        <v>46381.0</v>
      </c>
      <c r="I26" s="90">
        <v>46388.0</v>
      </c>
      <c r="J26" s="16"/>
      <c r="L26" s="16"/>
      <c r="M26" s="45"/>
      <c r="N26" s="45"/>
      <c r="O26" s="89" t="s">
        <v>101</v>
      </c>
      <c r="P26" s="90">
        <v>46549.0</v>
      </c>
      <c r="Q26" s="90">
        <v>46556.0</v>
      </c>
      <c r="R26" s="90">
        <v>46563.0</v>
      </c>
      <c r="S26" s="90">
        <v>46570.0</v>
      </c>
      <c r="T26" s="4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