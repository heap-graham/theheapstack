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imesheet" sheetId="1" r:id="rId5"/>
    <sheet state="visible" name="July Planned Activity" sheetId="2" r:id="rId6"/>
    <sheet state="visible" name="July Actuals" sheetId="3" r:id="rId7"/>
    <sheet state="visible" name="Planned Work PW03 " sheetId="4" r:id="rId8"/>
    <sheet state="visible" name="Planned Work PW04" sheetId="5" r:id="rId9"/>
  </sheets>
  <definedNames/>
  <calcPr/>
</workbook>
</file>

<file path=xl/sharedStrings.xml><?xml version="1.0" encoding="utf-8"?>
<sst xmlns="http://schemas.openxmlformats.org/spreadsheetml/2006/main" count="245" uniqueCount="130">
  <si>
    <t>Calandar Month</t>
  </si>
  <si>
    <t>Weekly Timesheets</t>
  </si>
  <si>
    <t>Project Quarter</t>
  </si>
  <si>
    <t>Project Month</t>
  </si>
  <si>
    <t>Project Week</t>
  </si>
  <si>
    <t>Start</t>
  </si>
  <si>
    <t>End</t>
  </si>
  <si>
    <t>July</t>
  </si>
  <si>
    <t>PQ1</t>
  </si>
  <si>
    <t>PM01</t>
  </si>
  <si>
    <t>PW01</t>
  </si>
  <si>
    <t>M</t>
  </si>
  <si>
    <t>January</t>
  </si>
  <si>
    <t>PQ3</t>
  </si>
  <si>
    <t>PM07</t>
  </si>
  <si>
    <t>PW27</t>
  </si>
  <si>
    <t>T</t>
  </si>
  <si>
    <t>PW02</t>
  </si>
  <si>
    <t>W</t>
  </si>
  <si>
    <t>PW28</t>
  </si>
  <si>
    <t>PW03</t>
  </si>
  <si>
    <t>PW29</t>
  </si>
  <si>
    <t>Planned Work</t>
  </si>
  <si>
    <t>PW04</t>
  </si>
  <si>
    <t>F</t>
  </si>
  <si>
    <t>PW30</t>
  </si>
  <si>
    <t>ETC</t>
  </si>
  <si>
    <t>Total</t>
  </si>
  <si>
    <t>August</t>
  </si>
  <si>
    <t>PM02</t>
  </si>
  <si>
    <t>PW05</t>
  </si>
  <si>
    <t>February</t>
  </si>
  <si>
    <t>PM08</t>
  </si>
  <si>
    <t>PW31</t>
  </si>
  <si>
    <t>PW06</t>
  </si>
  <si>
    <t>Actuals</t>
  </si>
  <si>
    <t>PW32</t>
  </si>
  <si>
    <t>PW07</t>
  </si>
  <si>
    <t>PW33</t>
  </si>
  <si>
    <t>PW08</t>
  </si>
  <si>
    <t>PW34</t>
  </si>
  <si>
    <t>PW09</t>
  </si>
  <si>
    <t>September</t>
  </si>
  <si>
    <t>PM03</t>
  </si>
  <si>
    <t>PW10</t>
  </si>
  <si>
    <t>March</t>
  </si>
  <si>
    <t>PM09</t>
  </si>
  <si>
    <t>PW35</t>
  </si>
  <si>
    <t>PW11</t>
  </si>
  <si>
    <t>PW36</t>
  </si>
  <si>
    <t>PW12</t>
  </si>
  <si>
    <t>PW37</t>
  </si>
  <si>
    <t>PW13</t>
  </si>
  <si>
    <t>PW38</t>
  </si>
  <si>
    <t>PW39</t>
  </si>
  <si>
    <t>October</t>
  </si>
  <si>
    <t>PQ2</t>
  </si>
  <si>
    <t>PM04</t>
  </si>
  <si>
    <t>PW14</t>
  </si>
  <si>
    <t>April</t>
  </si>
  <si>
    <t>PQ4</t>
  </si>
  <si>
    <t>PM10</t>
  </si>
  <si>
    <t>PW40</t>
  </si>
  <si>
    <t>PW15</t>
  </si>
  <si>
    <t>PW41</t>
  </si>
  <si>
    <t>PW16</t>
  </si>
  <si>
    <t>PW42</t>
  </si>
  <si>
    <t>PW17</t>
  </si>
  <si>
    <t>PW43</t>
  </si>
  <si>
    <t>November</t>
  </si>
  <si>
    <t>PM05</t>
  </si>
  <si>
    <t>PW18</t>
  </si>
  <si>
    <t>May</t>
  </si>
  <si>
    <t>PM11</t>
  </si>
  <si>
    <t>PW44</t>
  </si>
  <si>
    <t>PW19</t>
  </si>
  <si>
    <t>PW45</t>
  </si>
  <si>
    <t>PO – Project Office</t>
  </si>
  <si>
    <t>PW20</t>
  </si>
  <si>
    <t>PW46</t>
  </si>
  <si>
    <t>PW21</t>
  </si>
  <si>
    <t>PW47</t>
  </si>
  <si>
    <t>PW22</t>
  </si>
  <si>
    <t>PW48</t>
  </si>
  <si>
    <t>December</t>
  </si>
  <si>
    <t>PM06</t>
  </si>
  <si>
    <t>PW23</t>
  </si>
  <si>
    <t>Establish PO</t>
  </si>
  <si>
    <t>June</t>
  </si>
  <si>
    <t>PM12</t>
  </si>
  <si>
    <t>PW49</t>
  </si>
  <si>
    <t>PW24</t>
  </si>
  <si>
    <t>PW50</t>
  </si>
  <si>
    <t>PW25</t>
  </si>
  <si>
    <t>Complete Project Office Documentation</t>
  </si>
  <si>
    <t>PW51</t>
  </si>
  <si>
    <t>WIMS Architecture Definition</t>
  </si>
  <si>
    <t>PW26</t>
  </si>
  <si>
    <t>PW52</t>
  </si>
  <si>
    <t xml:space="preserve">PC - Project Control </t>
  </si>
  <si>
    <t>Review Baseline Documentation</t>
  </si>
  <si>
    <t>Configuration Management</t>
  </si>
  <si>
    <t>Baseline Management</t>
  </si>
  <si>
    <t>Implementation Planning</t>
  </si>
  <si>
    <t>WEP – WIMS Education Platform</t>
  </si>
  <si>
    <t>HTML June Fasting Report</t>
  </si>
  <si>
    <t>Introductory Educational Pages</t>
  </si>
  <si>
    <t>Project Governamce</t>
  </si>
  <si>
    <t>WCM – WIMS Communications</t>
  </si>
  <si>
    <t>Review Directory Structure</t>
  </si>
  <si>
    <t>YouTube educational content</t>
  </si>
  <si>
    <t>Presentation material</t>
  </si>
  <si>
    <t>PM – Planning &amp; Reporting</t>
  </si>
  <si>
    <t>Weekly Reporting</t>
  </si>
  <si>
    <t>PM02 preparation</t>
  </si>
  <si>
    <t>PW04 planning</t>
  </si>
  <si>
    <t xml:space="preserve">Totals </t>
  </si>
  <si>
    <t>Cross Check</t>
  </si>
  <si>
    <t>Identify and list Docmentation to review</t>
  </si>
  <si>
    <t xml:space="preserve">Review Documentation </t>
  </si>
  <si>
    <t>Project Reporting and Planning PW04</t>
  </si>
  <si>
    <t>Review live Test for release V1.1</t>
  </si>
  <si>
    <t xml:space="preserve">Code Review </t>
  </si>
  <si>
    <t>Update Standards</t>
  </si>
  <si>
    <t>Prepare for release V1.1</t>
  </si>
  <si>
    <t xml:space="preserve">Testing </t>
  </si>
  <si>
    <t xml:space="preserve">Decision to Release </t>
  </si>
  <si>
    <t>WCM - WIMS Communications</t>
  </si>
  <si>
    <t xml:space="preserve">Prepare Release Statement </t>
  </si>
  <si>
    <t>Float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</si>
</sst>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d/m/yyyy"/>
    <numFmt numFmtId="167" formatCode="0.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rgb="FF073763"/>
      <name val="Arial"/>
      <scheme val="minor"/>
    </font>
    <font>
      <sz val="12.0"/>
      <color rgb="FF073763"/>
      <name val="'Times New Roman'"/>
    </font>
    <font>
      <b/>
      <sz val="12.0"/>
      <color rgb="FF073763"/>
      <name val="'Times New Roman'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Font="1"/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Border="1" applyFont="1"/>
    <xf borderId="7" fillId="0" fontId="1" numFmtId="0" xfId="0" applyBorder="1" applyFont="1"/>
    <xf borderId="1" fillId="0" fontId="1" numFmtId="0" xfId="0" applyBorder="1" applyFont="1"/>
    <xf borderId="7" fillId="0" fontId="2" numFmtId="0" xfId="0" applyBorder="1" applyFont="1"/>
    <xf borderId="2" fillId="0" fontId="1" numFmtId="0" xfId="0" applyBorder="1" applyFont="1"/>
    <xf borderId="7" fillId="0" fontId="1" numFmtId="164" xfId="0" applyBorder="1" applyFont="1" applyNumberFormat="1"/>
    <xf borderId="1" fillId="0" fontId="1" numFmtId="165" xfId="0" applyBorder="1" applyFont="1" applyNumberFormat="1"/>
    <xf borderId="0" fillId="0" fontId="1" numFmtId="166" xfId="0" applyAlignment="1" applyFont="1" applyNumberFormat="1">
      <alignment readingOrder="0"/>
    </xf>
    <xf borderId="7" fillId="0" fontId="1" numFmtId="165" xfId="0" applyBorder="1" applyFont="1" applyNumberFormat="1"/>
    <xf borderId="8" fillId="0" fontId="1" numFmtId="0" xfId="0" applyBorder="1" applyFont="1"/>
    <xf borderId="9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1" numFmtId="167" xfId="0" applyAlignment="1" applyBorder="1" applyFont="1" applyNumberFormat="1">
      <alignment readingOrder="0"/>
    </xf>
    <xf borderId="1" fillId="0" fontId="1" numFmtId="167" xfId="0" applyBorder="1" applyFont="1" applyNumberFormat="1"/>
    <xf borderId="10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9" fillId="0" fontId="1" numFmtId="0" xfId="0" applyAlignment="1" applyBorder="1" applyFont="1">
      <alignment horizontal="right" readingOrder="0"/>
    </xf>
    <xf borderId="11" fillId="0" fontId="1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 shrinkToFit="0" wrapText="1"/>
    </xf>
    <xf borderId="9" fillId="0" fontId="1" numFmtId="0" xfId="0" applyBorder="1" applyFont="1"/>
    <xf borderId="1" fillId="0" fontId="5" numFmtId="0" xfId="0" applyAlignment="1" applyBorder="1" applyFont="1">
      <alignment horizontal="right" readingOrder="0" shrinkToFit="0" wrapText="1"/>
    </xf>
    <xf borderId="1" fillId="0" fontId="1" numFmtId="164" xfId="0" applyBorder="1" applyFont="1" applyNumberFormat="1"/>
    <xf borderId="2" fillId="0" fontId="1" numFmtId="164" xfId="0" applyBorder="1" applyFont="1" applyNumberFormat="1"/>
    <xf borderId="12" fillId="0" fontId="1" numFmtId="0" xfId="0" applyBorder="1" applyFont="1"/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0" fillId="0" fontId="1" numFmtId="0" xfId="0" applyAlignment="1" applyBorder="1" applyFont="1">
      <alignment horizontal="right" readingOrder="0"/>
    </xf>
    <xf borderId="3" fillId="0" fontId="1" numFmtId="0" xfId="0" applyBorder="1" applyFont="1"/>
    <xf borderId="10" fillId="0" fontId="1" numFmtId="0" xfId="0" applyBorder="1" applyFont="1"/>
    <xf borderId="11" fillId="0" fontId="1" numFmtId="0" xfId="0" applyAlignment="1" applyBorder="1" applyFont="1">
      <alignment horizontal="right" readingOrder="0"/>
    </xf>
    <xf borderId="6" fillId="0" fontId="1" numFmtId="0" xfId="0" applyBorder="1" applyFont="1"/>
    <xf borderId="11" fillId="0" fontId="1" numFmtId="0" xfId="0" applyBorder="1" applyFont="1"/>
    <xf borderId="4" fillId="0" fontId="1" numFmtId="0" xfId="0" applyBorder="1" applyFont="1"/>
    <xf borderId="0" fillId="0" fontId="1" numFmtId="165" xfId="0" applyFont="1" applyNumberFormat="1"/>
    <xf borderId="2" fillId="0" fontId="2" numFmtId="0" xfId="0" applyAlignment="1" applyBorder="1" applyFont="1">
      <alignment readingOrder="0"/>
    </xf>
    <xf borderId="13" fillId="0" fontId="1" numFmtId="167" xfId="0" applyBorder="1" applyFont="1" applyNumberFormat="1"/>
    <xf borderId="7" fillId="0" fontId="2" numFmtId="0" xfId="0" applyAlignment="1" applyBorder="1" applyFont="1">
      <alignment readingOrder="0"/>
    </xf>
    <xf borderId="14" fillId="0" fontId="1" numFmtId="167" xfId="0" applyBorder="1" applyFont="1" applyNumberFormat="1"/>
    <xf borderId="0" fillId="0" fontId="3" numFmtId="0" xfId="0" applyAlignment="1" applyFont="1">
      <alignment readingOrder="0" shrinkToFit="0" wrapText="1"/>
    </xf>
    <xf borderId="0" fillId="0" fontId="1" numFmtId="167" xfId="0" applyAlignment="1" applyFont="1" applyNumberFormat="1">
      <alignment readingOrder="0"/>
    </xf>
    <xf borderId="0" fillId="0" fontId="1" numFmtId="167" xfId="0" applyFont="1" applyNumberFormat="1"/>
    <xf borderId="2" fillId="0" fontId="3" numFmtId="0" xfId="0" applyAlignment="1" applyBorder="1" applyFont="1">
      <alignment readingOrder="0" shrinkToFit="0" wrapText="1"/>
    </xf>
    <xf borderId="13" fillId="0" fontId="2" numFmtId="167" xfId="0" applyAlignment="1" applyBorder="1" applyFont="1" applyNumberFormat="1">
      <alignment readingOrder="0"/>
    </xf>
    <xf borderId="13" fillId="0" fontId="1" numFmtId="167" xfId="0" applyAlignment="1" applyBorder="1" applyFont="1" applyNumberFormat="1">
      <alignment readingOrder="0"/>
    </xf>
    <xf borderId="14" fillId="0" fontId="1" numFmtId="0" xfId="0" applyBorder="1" applyFont="1"/>
    <xf borderId="12" fillId="0" fontId="1" numFmtId="0" xfId="0" applyAlignment="1" applyBorder="1" applyFont="1">
      <alignment horizontal="right" readingOrder="0"/>
    </xf>
    <xf borderId="15" fillId="0" fontId="1" numFmtId="167" xfId="0" applyBorder="1" applyFont="1" applyNumberFormat="1"/>
    <xf borderId="6" fillId="0" fontId="1" numFmtId="0" xfId="0" applyAlignment="1" applyBorder="1" applyFont="1">
      <alignment horizontal="right" readingOrder="0"/>
    </xf>
    <xf borderId="7" fillId="0" fontId="1" numFmtId="167" xfId="0" applyAlignment="1" applyBorder="1" applyFont="1" applyNumberFormat="1">
      <alignment readingOrder="0"/>
    </xf>
    <xf borderId="7" fillId="0" fontId="1" numFmtId="167" xfId="0" applyBorder="1" applyFont="1" applyNumberFormat="1"/>
    <xf borderId="8" fillId="0" fontId="1" numFmtId="167" xfId="0" applyBorder="1" applyFont="1" applyNumberFormat="1"/>
    <xf borderId="0" fillId="0" fontId="1" numFmtId="164" xfId="0" applyFont="1" applyNumberFormat="1"/>
    <xf borderId="0" fillId="0" fontId="2" numFmtId="0" xfId="0" applyAlignment="1" applyFont="1">
      <alignment readingOrder="0"/>
    </xf>
    <xf borderId="6" fillId="0" fontId="4" numFmtId="0" xfId="0" applyAlignment="1" applyBorder="1" applyFont="1">
      <alignment horizontal="right" readingOrder="0" shrinkToFit="0" wrapText="1"/>
    </xf>
    <xf borderId="0" fillId="0" fontId="4" numFmtId="0" xfId="0" applyAlignment="1" applyFont="1">
      <alignment horizontal="right" readingOrder="0" shrinkToFit="0" wrapText="1"/>
    </xf>
    <xf borderId="12" fillId="0" fontId="5" numFmtId="0" xfId="0" applyAlignment="1" applyBorder="1" applyFont="1">
      <alignment horizontal="right" readingOrder="0" shrinkToFit="0" wrapText="1"/>
    </xf>
    <xf borderId="6" fillId="0" fontId="5" numFmtId="0" xfId="0" applyAlignment="1" applyBorder="1" applyFont="1">
      <alignment horizontal="right" readingOrder="0" shrinkToFit="0" wrapText="1"/>
    </xf>
    <xf borderId="13" fillId="0" fontId="1" numFmtId="0" xfId="0" applyBorder="1" applyFont="1"/>
    <xf borderId="7" fillId="0" fontId="1" numFmtId="0" xfId="0" applyAlignment="1" applyBorder="1" applyFont="1">
      <alignment readingOrder="0"/>
    </xf>
    <xf borderId="4" fillId="0" fontId="2" numFmtId="167" xfId="0" applyBorder="1" applyFont="1" applyNumberFormat="1"/>
    <xf borderId="4" fillId="0" fontId="1" numFmtId="167" xfId="0" applyBorder="1" applyFont="1" applyNumberFormat="1"/>
    <xf borderId="5" fillId="0" fontId="1" numFmtId="0" xfId="0" applyBorder="1" applyFont="1"/>
    <xf borderId="9" fillId="0" fontId="1" numFmtId="167" xfId="0" applyBorder="1" applyFont="1" applyNumberFormat="1"/>
    <xf borderId="6" fillId="0" fontId="1" numFmtId="0" xfId="0" applyAlignment="1" applyBorder="1" applyFont="1">
      <alignment readingOrder="0"/>
    </xf>
    <xf borderId="11" fillId="0" fontId="1" numFmtId="16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0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</row>
    <row r="4">
      <c r="B4" s="1" t="s">
        <v>7</v>
      </c>
      <c r="C4" s="1" t="s">
        <v>8</v>
      </c>
      <c r="D4" s="1" t="s">
        <v>9</v>
      </c>
      <c r="E4" s="1" t="s">
        <v>10</v>
      </c>
      <c r="F4" s="4">
        <v>46209.0</v>
      </c>
      <c r="G4" s="4">
        <v>46213.0</v>
      </c>
      <c r="I4" s="1" t="s">
        <v>12</v>
      </c>
      <c r="J4" s="1" t="s">
        <v>13</v>
      </c>
      <c r="K4" s="1" t="s">
        <v>14</v>
      </c>
      <c r="L4" s="1" t="s">
        <v>15</v>
      </c>
      <c r="M4" s="4">
        <v>46391.0</v>
      </c>
      <c r="N4" s="4">
        <v>46395.0</v>
      </c>
    </row>
    <row r="5">
      <c r="D5" s="1" t="s">
        <v>9</v>
      </c>
      <c r="E5" s="1" t="s">
        <v>17</v>
      </c>
      <c r="F5" s="4">
        <v>46216.0</v>
      </c>
      <c r="G5" s="4">
        <v>46220.0</v>
      </c>
      <c r="L5" s="1" t="s">
        <v>19</v>
      </c>
      <c r="M5" s="4">
        <v>46398.0</v>
      </c>
      <c r="N5" s="4">
        <v>46402.0</v>
      </c>
    </row>
    <row r="6">
      <c r="D6" s="1" t="s">
        <v>9</v>
      </c>
      <c r="E6" s="1" t="s">
        <v>20</v>
      </c>
      <c r="F6" s="4">
        <v>46223.0</v>
      </c>
      <c r="G6" s="4">
        <v>46227.0</v>
      </c>
      <c r="L6" s="1" t="s">
        <v>21</v>
      </c>
      <c r="M6" s="4">
        <v>46405.0</v>
      </c>
      <c r="N6" s="4">
        <v>46409.0</v>
      </c>
    </row>
    <row r="7">
      <c r="D7" s="1" t="s">
        <v>9</v>
      </c>
      <c r="E7" s="1" t="s">
        <v>23</v>
      </c>
      <c r="F7" s="4">
        <v>46230.0</v>
      </c>
      <c r="G7" s="4">
        <v>46234.0</v>
      </c>
      <c r="L7" s="1" t="s">
        <v>25</v>
      </c>
      <c r="M7" s="4">
        <v>46412.0</v>
      </c>
      <c r="N7" s="4">
        <v>46416.0</v>
      </c>
    </row>
    <row r="9">
      <c r="B9" s="1"/>
      <c r="C9" s="1"/>
      <c r="D9" s="1"/>
      <c r="E9" s="1"/>
      <c r="F9" s="4"/>
      <c r="G9" s="4"/>
      <c r="I9" s="1"/>
      <c r="J9" s="1"/>
      <c r="K9" s="1"/>
      <c r="L9" s="1"/>
      <c r="M9" s="4"/>
      <c r="N9" s="4"/>
    </row>
    <row r="10">
      <c r="B10" s="1" t="s">
        <v>28</v>
      </c>
      <c r="C10" s="1" t="s">
        <v>8</v>
      </c>
      <c r="D10" s="1" t="s">
        <v>29</v>
      </c>
      <c r="E10" s="1" t="s">
        <v>30</v>
      </c>
      <c r="F10" s="4">
        <v>46237.0</v>
      </c>
      <c r="G10" s="4">
        <v>46241.0</v>
      </c>
      <c r="I10" s="1" t="s">
        <v>31</v>
      </c>
      <c r="J10" s="1" t="s">
        <v>13</v>
      </c>
      <c r="K10" s="1" t="s">
        <v>32</v>
      </c>
      <c r="L10" s="1" t="s">
        <v>33</v>
      </c>
      <c r="M10" s="4">
        <v>46419.0</v>
      </c>
      <c r="N10" s="4">
        <v>46423.0</v>
      </c>
    </row>
    <row r="11">
      <c r="E11" s="1" t="s">
        <v>34</v>
      </c>
      <c r="F11" s="4">
        <v>46244.0</v>
      </c>
      <c r="G11" s="4">
        <v>46248.0</v>
      </c>
      <c r="L11" s="1" t="s">
        <v>36</v>
      </c>
      <c r="M11" s="4">
        <v>46426.0</v>
      </c>
      <c r="N11" s="4">
        <v>46430.0</v>
      </c>
    </row>
    <row r="12">
      <c r="E12" s="1" t="s">
        <v>37</v>
      </c>
      <c r="F12" s="4">
        <v>46251.0</v>
      </c>
      <c r="G12" s="4">
        <v>46255.0</v>
      </c>
      <c r="L12" s="1" t="s">
        <v>38</v>
      </c>
      <c r="M12" s="4">
        <v>46433.0</v>
      </c>
      <c r="N12" s="4">
        <v>46437.0</v>
      </c>
    </row>
    <row r="13">
      <c r="E13" s="1" t="s">
        <v>39</v>
      </c>
      <c r="F13" s="4">
        <v>46258.0</v>
      </c>
      <c r="G13" s="4">
        <v>46262.0</v>
      </c>
      <c r="L13" s="1" t="s">
        <v>40</v>
      </c>
      <c r="M13" s="4">
        <v>46440.0</v>
      </c>
      <c r="N13" s="4">
        <v>46444.0</v>
      </c>
    </row>
    <row r="14">
      <c r="E14" s="1" t="s">
        <v>41</v>
      </c>
      <c r="F14" s="4">
        <v>46265.0</v>
      </c>
      <c r="G14" s="4">
        <v>46269.0</v>
      </c>
    </row>
    <row r="16">
      <c r="B16" s="1" t="s">
        <v>42</v>
      </c>
      <c r="C16" s="1" t="s">
        <v>8</v>
      </c>
      <c r="D16" s="1" t="s">
        <v>43</v>
      </c>
      <c r="E16" s="1" t="s">
        <v>44</v>
      </c>
      <c r="F16" s="4">
        <v>46272.0</v>
      </c>
      <c r="G16" s="4">
        <v>46276.0</v>
      </c>
      <c r="I16" s="1" t="s">
        <v>45</v>
      </c>
      <c r="J16" s="1" t="s">
        <v>13</v>
      </c>
      <c r="K16" s="1" t="s">
        <v>46</v>
      </c>
      <c r="L16" s="1" t="s">
        <v>47</v>
      </c>
      <c r="M16" s="4">
        <v>46447.0</v>
      </c>
      <c r="N16" s="4">
        <v>46451.0</v>
      </c>
    </row>
    <row r="17">
      <c r="E17" s="1" t="s">
        <v>48</v>
      </c>
      <c r="F17" s="4">
        <v>46279.0</v>
      </c>
      <c r="G17" s="4">
        <v>46283.0</v>
      </c>
      <c r="L17" s="1" t="s">
        <v>49</v>
      </c>
      <c r="M17" s="4">
        <v>46454.0</v>
      </c>
      <c r="N17" s="4">
        <v>46458.0</v>
      </c>
    </row>
    <row r="18">
      <c r="E18" s="1" t="s">
        <v>50</v>
      </c>
      <c r="F18" s="4">
        <v>46286.0</v>
      </c>
      <c r="G18" s="4">
        <v>46290.0</v>
      </c>
      <c r="L18" s="1" t="s">
        <v>51</v>
      </c>
      <c r="M18" s="4">
        <v>46461.0</v>
      </c>
      <c r="N18" s="4">
        <v>46465.0</v>
      </c>
    </row>
    <row r="19">
      <c r="E19" s="1" t="s">
        <v>52</v>
      </c>
      <c r="F19" s="4">
        <v>46293.0</v>
      </c>
      <c r="G19" s="4">
        <v>46297.0</v>
      </c>
      <c r="L19" s="1" t="s">
        <v>53</v>
      </c>
      <c r="M19" s="4">
        <v>46468.0</v>
      </c>
      <c r="N19" s="4">
        <v>46472.0</v>
      </c>
    </row>
    <row r="20">
      <c r="L20" s="1" t="s">
        <v>54</v>
      </c>
      <c r="M20" s="4">
        <v>46475.0</v>
      </c>
      <c r="N20" s="4">
        <v>46479.0</v>
      </c>
    </row>
    <row r="22">
      <c r="B22" s="1" t="s">
        <v>55</v>
      </c>
      <c r="C22" s="1" t="s">
        <v>56</v>
      </c>
      <c r="D22" s="1" t="s">
        <v>57</v>
      </c>
      <c r="E22" s="1" t="s">
        <v>58</v>
      </c>
      <c r="F22" s="4">
        <v>46300.0</v>
      </c>
      <c r="G22" s="4">
        <v>46304.0</v>
      </c>
      <c r="I22" s="1" t="s">
        <v>59</v>
      </c>
      <c r="J22" s="1" t="s">
        <v>60</v>
      </c>
      <c r="K22" s="1" t="s">
        <v>61</v>
      </c>
      <c r="L22" s="1" t="s">
        <v>62</v>
      </c>
      <c r="M22" s="4">
        <v>46482.0</v>
      </c>
      <c r="N22" s="4">
        <v>46486.0</v>
      </c>
    </row>
    <row r="23">
      <c r="E23" s="1" t="s">
        <v>63</v>
      </c>
      <c r="F23" s="18">
        <v>46307.0</v>
      </c>
      <c r="G23" s="18">
        <v>46311.0</v>
      </c>
      <c r="L23" s="1" t="s">
        <v>64</v>
      </c>
      <c r="M23" s="4">
        <v>46489.0</v>
      </c>
      <c r="N23" s="4">
        <v>46493.0</v>
      </c>
    </row>
    <row r="24">
      <c r="E24" s="1" t="s">
        <v>65</v>
      </c>
      <c r="F24" s="18">
        <v>46314.0</v>
      </c>
      <c r="G24" s="18">
        <v>46318.0</v>
      </c>
      <c r="L24" s="1" t="s">
        <v>66</v>
      </c>
      <c r="M24" s="4">
        <v>46496.0</v>
      </c>
      <c r="N24" s="4">
        <v>46500.0</v>
      </c>
    </row>
    <row r="25">
      <c r="E25" s="1" t="s">
        <v>67</v>
      </c>
      <c r="F25" s="18">
        <v>46321.0</v>
      </c>
      <c r="G25" s="18">
        <v>46325.0</v>
      </c>
      <c r="L25" s="1" t="s">
        <v>68</v>
      </c>
      <c r="M25" s="4">
        <v>46503.0</v>
      </c>
      <c r="N25" s="4">
        <v>46507.0</v>
      </c>
    </row>
    <row r="27">
      <c r="B27" s="1" t="s">
        <v>69</v>
      </c>
      <c r="C27" s="1" t="s">
        <v>56</v>
      </c>
      <c r="D27" s="1" t="s">
        <v>70</v>
      </c>
      <c r="E27" s="1" t="s">
        <v>71</v>
      </c>
      <c r="F27" s="4">
        <v>46328.0</v>
      </c>
      <c r="G27" s="4">
        <v>46332.0</v>
      </c>
      <c r="I27" s="1" t="s">
        <v>72</v>
      </c>
      <c r="J27" s="1" t="s">
        <v>60</v>
      </c>
      <c r="K27" s="1" t="s">
        <v>73</v>
      </c>
      <c r="L27" s="1" t="s">
        <v>74</v>
      </c>
      <c r="M27" s="4">
        <v>46510.0</v>
      </c>
      <c r="N27" s="4">
        <v>46514.0</v>
      </c>
    </row>
    <row r="28">
      <c r="E28" s="1" t="s">
        <v>75</v>
      </c>
      <c r="F28" s="4">
        <v>46335.0</v>
      </c>
      <c r="G28" s="18">
        <v>46339.0</v>
      </c>
      <c r="L28" s="1" t="s">
        <v>76</v>
      </c>
      <c r="M28" s="4">
        <v>46517.0</v>
      </c>
      <c r="N28" s="4">
        <v>46521.0</v>
      </c>
    </row>
    <row r="29">
      <c r="E29" s="1" t="s">
        <v>78</v>
      </c>
      <c r="F29" s="18">
        <v>46342.0</v>
      </c>
      <c r="G29" s="18">
        <v>46346.0</v>
      </c>
      <c r="L29" s="1" t="s">
        <v>79</v>
      </c>
      <c r="M29" s="4">
        <v>46524.0</v>
      </c>
      <c r="N29" s="4">
        <v>46528.0</v>
      </c>
    </row>
    <row r="30">
      <c r="E30" s="1" t="s">
        <v>80</v>
      </c>
      <c r="F30" s="18">
        <v>46349.0</v>
      </c>
      <c r="G30" s="18">
        <v>46353.0</v>
      </c>
      <c r="L30" s="1" t="s">
        <v>81</v>
      </c>
      <c r="M30" s="4">
        <v>46531.0</v>
      </c>
      <c r="N30" s="4">
        <v>46535.0</v>
      </c>
    </row>
    <row r="31">
      <c r="E31" s="1" t="s">
        <v>82</v>
      </c>
      <c r="F31" s="18">
        <v>46356.0</v>
      </c>
      <c r="G31" s="4">
        <v>46360.0</v>
      </c>
      <c r="L31" s="1" t="s">
        <v>83</v>
      </c>
      <c r="M31" s="4">
        <v>46538.0</v>
      </c>
      <c r="N31" s="4">
        <v>46542.0</v>
      </c>
    </row>
    <row r="33">
      <c r="B33" s="1" t="s">
        <v>84</v>
      </c>
      <c r="C33" s="1" t="s">
        <v>13</v>
      </c>
      <c r="D33" s="1" t="s">
        <v>85</v>
      </c>
      <c r="E33" s="1" t="s">
        <v>86</v>
      </c>
      <c r="F33" s="4">
        <v>46363.0</v>
      </c>
      <c r="G33" s="18">
        <v>46367.0</v>
      </c>
      <c r="I33" s="1" t="s">
        <v>88</v>
      </c>
      <c r="J33" s="1" t="s">
        <v>60</v>
      </c>
      <c r="K33" s="1" t="s">
        <v>89</v>
      </c>
      <c r="L33" s="1" t="s">
        <v>90</v>
      </c>
      <c r="M33" s="4">
        <v>46545.0</v>
      </c>
      <c r="N33" s="4">
        <v>46549.0</v>
      </c>
    </row>
    <row r="34">
      <c r="E34" s="1" t="s">
        <v>91</v>
      </c>
      <c r="F34" s="18">
        <v>46370.0</v>
      </c>
      <c r="G34" s="18">
        <v>46374.0</v>
      </c>
      <c r="L34" s="1" t="s">
        <v>92</v>
      </c>
      <c r="M34" s="4">
        <v>46552.0</v>
      </c>
      <c r="N34" s="4">
        <v>46556.0</v>
      </c>
    </row>
    <row r="35">
      <c r="E35" s="1" t="s">
        <v>93</v>
      </c>
      <c r="F35" s="18">
        <v>46377.0</v>
      </c>
      <c r="G35" s="18">
        <v>46381.0</v>
      </c>
      <c r="L35" s="1" t="s">
        <v>95</v>
      </c>
      <c r="M35" s="4">
        <v>46559.0</v>
      </c>
      <c r="N35" s="4">
        <v>46563.0</v>
      </c>
    </row>
    <row r="36">
      <c r="E36" s="1" t="s">
        <v>97</v>
      </c>
      <c r="F36" s="18">
        <v>46384.0</v>
      </c>
      <c r="G36" s="4">
        <v>46388.0</v>
      </c>
      <c r="L36" s="1" t="s">
        <v>98</v>
      </c>
      <c r="M36" s="4">
        <v>46566.0</v>
      </c>
      <c r="N36" s="4">
        <v>46570.0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4.0"/>
    <col customWidth="1" min="3" max="3" width="4.38"/>
    <col customWidth="1" min="4" max="4" width="25.0"/>
    <col customWidth="1" min="5" max="5" width="5.5"/>
    <col customWidth="1" min="6" max="11" width="9.38"/>
    <col customWidth="1" min="12" max="31" width="12.88"/>
  </cols>
  <sheetData>
    <row r="2">
      <c r="D2" s="2" t="s">
        <v>1</v>
      </c>
      <c r="E2" s="3"/>
      <c r="F2" s="5" t="s">
        <v>11</v>
      </c>
      <c r="G2" s="5" t="s">
        <v>16</v>
      </c>
      <c r="H2" s="5" t="s">
        <v>18</v>
      </c>
      <c r="I2" s="5" t="s">
        <v>16</v>
      </c>
      <c r="J2" s="5" t="s">
        <v>24</v>
      </c>
      <c r="K2" s="5" t="s">
        <v>27</v>
      </c>
    </row>
    <row r="3">
      <c r="B3" s="6" t="str">
        <f>'Project Timesheet'!B4</f>
        <v>July</v>
      </c>
      <c r="C3" s="1" t="str">
        <f>'Project Timesheet'!C4</f>
        <v>PQ1</v>
      </c>
      <c r="D3" s="13" t="str">
        <f>'Project Timesheet'!D4</f>
        <v>PM01</v>
      </c>
      <c r="E3" s="15" t="str">
        <f>'Project Timesheet'!E4</f>
        <v>PW01</v>
      </c>
      <c r="F3" s="17">
        <f>'Project Timesheet'!F4</f>
        <v>46209</v>
      </c>
      <c r="G3" s="17">
        <f t="shared" ref="G3:I3" si="1">F3+1</f>
        <v>46210</v>
      </c>
      <c r="H3" s="17">
        <f t="shared" si="1"/>
        <v>46211</v>
      </c>
      <c r="I3" s="17">
        <f t="shared" si="1"/>
        <v>46212</v>
      </c>
      <c r="J3" s="17">
        <f>'Project Timesheet'!G4</f>
        <v>46213</v>
      </c>
      <c r="K3" s="13"/>
    </row>
    <row r="4">
      <c r="D4" s="21"/>
      <c r="E4" s="13"/>
      <c r="F4" s="13"/>
      <c r="G4" s="13"/>
      <c r="H4" s="13"/>
      <c r="I4" s="13"/>
      <c r="J4" s="13"/>
      <c r="K4" s="13"/>
    </row>
    <row r="5">
      <c r="D5" s="25" t="s">
        <v>87</v>
      </c>
      <c r="E5" s="13"/>
      <c r="F5" s="13"/>
      <c r="G5" s="13"/>
      <c r="H5" s="13"/>
      <c r="I5" s="13"/>
      <c r="J5" s="13"/>
      <c r="K5" s="13"/>
    </row>
    <row r="6">
      <c r="D6" s="27" t="s">
        <v>96</v>
      </c>
      <c r="E6" s="13"/>
      <c r="F6" s="13">
        <f t="shared" ref="F6:J6" si="2">4</f>
        <v>4</v>
      </c>
      <c r="G6" s="13">
        <f t="shared" si="2"/>
        <v>4</v>
      </c>
      <c r="H6" s="13">
        <f t="shared" si="2"/>
        <v>4</v>
      </c>
      <c r="I6" s="13">
        <f t="shared" si="2"/>
        <v>4</v>
      </c>
      <c r="J6" s="13">
        <f t="shared" si="2"/>
        <v>4</v>
      </c>
      <c r="K6" s="13">
        <f t="shared" ref="K6:K7" si="4">sum(F6:J6)</f>
        <v>20</v>
      </c>
    </row>
    <row r="7">
      <c r="D7" s="28" t="s">
        <v>100</v>
      </c>
      <c r="E7" s="13"/>
      <c r="F7" s="13">
        <f t="shared" ref="F7:J7" si="3">4</f>
        <v>4</v>
      </c>
      <c r="G7" s="13">
        <f t="shared" si="3"/>
        <v>4</v>
      </c>
      <c r="H7" s="13">
        <f t="shared" si="3"/>
        <v>4</v>
      </c>
      <c r="I7" s="13">
        <f t="shared" si="3"/>
        <v>4</v>
      </c>
      <c r="J7" s="13">
        <f t="shared" si="3"/>
        <v>4</v>
      </c>
      <c r="K7" s="13">
        <f t="shared" si="4"/>
        <v>20</v>
      </c>
    </row>
    <row r="8">
      <c r="D8" s="30"/>
      <c r="E8" s="13"/>
      <c r="F8" s="13"/>
      <c r="G8" s="13"/>
      <c r="H8" s="13"/>
      <c r="I8" s="13"/>
      <c r="J8" s="13"/>
      <c r="K8" s="13"/>
    </row>
    <row r="9">
      <c r="D9" s="13"/>
      <c r="E9" s="15"/>
      <c r="F9" s="13">
        <f t="shared" ref="F9:J9" si="5">sum(F6:F7)</f>
        <v>8</v>
      </c>
      <c r="G9" s="13">
        <f t="shared" si="5"/>
        <v>8</v>
      </c>
      <c r="H9" s="13">
        <f t="shared" si="5"/>
        <v>8</v>
      </c>
      <c r="I9" s="13">
        <f t="shared" si="5"/>
        <v>8</v>
      </c>
      <c r="J9" s="13">
        <f t="shared" si="5"/>
        <v>8</v>
      </c>
      <c r="K9" s="13">
        <f>sum(F9:J9)</f>
        <v>40</v>
      </c>
    </row>
    <row r="11">
      <c r="D11" s="5" t="s">
        <v>1</v>
      </c>
      <c r="E11" s="3"/>
      <c r="F11" s="5" t="s">
        <v>11</v>
      </c>
      <c r="G11" s="5" t="s">
        <v>16</v>
      </c>
      <c r="H11" s="5" t="s">
        <v>18</v>
      </c>
      <c r="I11" s="5" t="s">
        <v>16</v>
      </c>
      <c r="J11" s="5" t="s">
        <v>24</v>
      </c>
      <c r="K11" s="5" t="s">
        <v>27</v>
      </c>
    </row>
    <row r="12">
      <c r="B12" s="6" t="s">
        <v>7</v>
      </c>
      <c r="C12" s="1" t="s">
        <v>8</v>
      </c>
      <c r="D12" s="13" t="str">
        <f>'Project Timesheet'!D5</f>
        <v>PM01</v>
      </c>
      <c r="E12" s="13" t="str">
        <f>'Project Timesheet'!E5</f>
        <v>PW02</v>
      </c>
      <c r="F12" s="32">
        <f>'Project Timesheet'!F5</f>
        <v>46216</v>
      </c>
      <c r="G12" s="33">
        <f t="shared" ref="G12:J12" si="6">F12+1</f>
        <v>46217</v>
      </c>
      <c r="H12" s="33">
        <f t="shared" si="6"/>
        <v>46218</v>
      </c>
      <c r="I12" s="33">
        <f t="shared" si="6"/>
        <v>46219</v>
      </c>
      <c r="J12" s="33">
        <f t="shared" si="6"/>
        <v>46220</v>
      </c>
      <c r="K12" s="13"/>
    </row>
    <row r="13">
      <c r="D13" s="21"/>
      <c r="E13" s="34"/>
      <c r="F13" s="30"/>
      <c r="G13" s="30"/>
      <c r="H13" s="30"/>
      <c r="I13" s="30"/>
      <c r="J13" s="30"/>
      <c r="K13" s="30"/>
    </row>
    <row r="14">
      <c r="D14" s="21" t="s">
        <v>107</v>
      </c>
      <c r="E14" s="34"/>
      <c r="F14" s="30"/>
      <c r="G14" s="30"/>
      <c r="H14" s="30"/>
      <c r="I14" s="30"/>
      <c r="J14" s="30"/>
      <c r="K14" s="30"/>
    </row>
    <row r="15">
      <c r="D15" s="37" t="s">
        <v>109</v>
      </c>
      <c r="E15" s="38"/>
      <c r="F15" s="39">
        <f t="shared" ref="F15:J15" si="7">4</f>
        <v>4</v>
      </c>
      <c r="G15" s="39">
        <f t="shared" si="7"/>
        <v>4</v>
      </c>
      <c r="H15" s="39">
        <f t="shared" si="7"/>
        <v>4</v>
      </c>
      <c r="I15" s="39">
        <f t="shared" si="7"/>
        <v>4</v>
      </c>
      <c r="J15" s="39">
        <f t="shared" si="7"/>
        <v>4</v>
      </c>
      <c r="K15" s="39">
        <f t="shared" ref="K15:K16" si="9">sum(F15:J15)</f>
        <v>20</v>
      </c>
    </row>
    <row r="16">
      <c r="D16" s="40" t="s">
        <v>100</v>
      </c>
      <c r="E16" s="41"/>
      <c r="F16" s="42">
        <f t="shared" ref="F16:J16" si="8">4</f>
        <v>4</v>
      </c>
      <c r="G16" s="42">
        <f t="shared" si="8"/>
        <v>4</v>
      </c>
      <c r="H16" s="42">
        <f t="shared" si="8"/>
        <v>4</v>
      </c>
      <c r="I16" s="42">
        <f t="shared" si="8"/>
        <v>4</v>
      </c>
      <c r="J16" s="42">
        <f t="shared" si="8"/>
        <v>4</v>
      </c>
      <c r="K16" s="42">
        <f t="shared" si="9"/>
        <v>20</v>
      </c>
    </row>
    <row r="17">
      <c r="D17" s="30"/>
      <c r="E17" s="34"/>
      <c r="F17" s="30"/>
      <c r="G17" s="30"/>
      <c r="H17" s="30"/>
      <c r="I17" s="30"/>
      <c r="J17" s="30"/>
      <c r="K17" s="30"/>
    </row>
    <row r="18">
      <c r="D18" s="13"/>
      <c r="E18" s="15"/>
      <c r="F18" s="13">
        <f t="shared" ref="F18:J18" si="10">sum(F15:F16)</f>
        <v>8</v>
      </c>
      <c r="G18" s="13">
        <f t="shared" si="10"/>
        <v>8</v>
      </c>
      <c r="H18" s="13">
        <f t="shared" si="10"/>
        <v>8</v>
      </c>
      <c r="I18" s="13">
        <f t="shared" si="10"/>
        <v>8</v>
      </c>
      <c r="J18" s="13">
        <f t="shared" si="10"/>
        <v>8</v>
      </c>
      <c r="K18" s="13">
        <f>sum(F18:J18)</f>
        <v>40</v>
      </c>
    </row>
    <row r="19">
      <c r="G19" s="44"/>
      <c r="H19" s="44"/>
      <c r="I19" s="44"/>
    </row>
    <row r="20">
      <c r="B20" s="6" t="s">
        <v>7</v>
      </c>
      <c r="C20" s="1" t="s">
        <v>8</v>
      </c>
      <c r="D20" s="5" t="s">
        <v>1</v>
      </c>
      <c r="E20" s="3"/>
      <c r="F20" s="5" t="s">
        <v>11</v>
      </c>
      <c r="G20" s="5" t="s">
        <v>16</v>
      </c>
      <c r="H20" s="5" t="s">
        <v>18</v>
      </c>
      <c r="I20" s="5" t="s">
        <v>16</v>
      </c>
      <c r="J20" s="5" t="s">
        <v>24</v>
      </c>
      <c r="K20" s="5" t="s">
        <v>27</v>
      </c>
    </row>
    <row r="21">
      <c r="D21" s="13" t="str">
        <f>'Project Timesheet'!D6</f>
        <v>PM01</v>
      </c>
      <c r="E21" s="13" t="str">
        <f>'Project Timesheet'!E6</f>
        <v>PW03</v>
      </c>
      <c r="F21" s="32">
        <f>'Project Timesheet'!F6</f>
        <v>46223</v>
      </c>
      <c r="G21" s="17">
        <f t="shared" ref="G21:J21" si="11">F21+1</f>
        <v>46224</v>
      </c>
      <c r="H21" s="17">
        <f t="shared" si="11"/>
        <v>46225</v>
      </c>
      <c r="I21" s="17">
        <f t="shared" si="11"/>
        <v>46226</v>
      </c>
      <c r="J21" s="17">
        <f t="shared" si="11"/>
        <v>46227</v>
      </c>
      <c r="K21" s="13"/>
    </row>
    <row r="22">
      <c r="D22" s="21"/>
      <c r="E22" s="34"/>
      <c r="F22" s="30"/>
      <c r="G22" s="30"/>
      <c r="H22" s="30"/>
      <c r="I22" s="30"/>
      <c r="J22" s="30"/>
      <c r="K22" s="30"/>
    </row>
    <row r="23">
      <c r="D23" s="25" t="s">
        <v>87</v>
      </c>
      <c r="E23" s="38"/>
      <c r="F23" s="39">
        <f t="shared" ref="F23:J23" si="12">4</f>
        <v>4</v>
      </c>
      <c r="G23" s="39">
        <f t="shared" si="12"/>
        <v>4</v>
      </c>
      <c r="H23" s="39">
        <f t="shared" si="12"/>
        <v>4</v>
      </c>
      <c r="I23" s="39">
        <f t="shared" si="12"/>
        <v>4</v>
      </c>
      <c r="J23" s="39">
        <f t="shared" si="12"/>
        <v>4</v>
      </c>
      <c r="K23" s="39">
        <f t="shared" ref="K23:K24" si="14">sum(F23:J23)</f>
        <v>20</v>
      </c>
    </row>
    <row r="24">
      <c r="D24" s="28" t="s">
        <v>100</v>
      </c>
      <c r="E24" s="41"/>
      <c r="F24" s="42">
        <f t="shared" ref="F24:J24" si="13">4</f>
        <v>4</v>
      </c>
      <c r="G24" s="42">
        <f t="shared" si="13"/>
        <v>4</v>
      </c>
      <c r="H24" s="42">
        <f t="shared" si="13"/>
        <v>4</v>
      </c>
      <c r="I24" s="42">
        <f t="shared" si="13"/>
        <v>4</v>
      </c>
      <c r="J24" s="42">
        <f t="shared" si="13"/>
        <v>4</v>
      </c>
      <c r="K24" s="42">
        <f t="shared" si="14"/>
        <v>20</v>
      </c>
    </row>
    <row r="25">
      <c r="D25" s="30"/>
      <c r="E25" s="34"/>
      <c r="F25" s="30"/>
      <c r="G25" s="30"/>
      <c r="H25" s="30"/>
      <c r="I25" s="30"/>
      <c r="J25" s="30"/>
      <c r="K25" s="30"/>
    </row>
    <row r="26">
      <c r="D26" s="13"/>
      <c r="E26" s="15"/>
      <c r="F26" s="13">
        <f t="shared" ref="F26:J26" si="15">sum(F23:F24)</f>
        <v>8</v>
      </c>
      <c r="G26" s="13">
        <f t="shared" si="15"/>
        <v>8</v>
      </c>
      <c r="H26" s="13">
        <f t="shared" si="15"/>
        <v>8</v>
      </c>
      <c r="I26" s="13">
        <f t="shared" si="15"/>
        <v>8</v>
      </c>
      <c r="J26" s="13">
        <f t="shared" si="15"/>
        <v>8</v>
      </c>
      <c r="K26" s="13">
        <f>sum(F26:J26)</f>
        <v>40</v>
      </c>
    </row>
    <row r="28">
      <c r="B28" s="6" t="s">
        <v>7</v>
      </c>
      <c r="C28" s="1" t="s">
        <v>8</v>
      </c>
      <c r="D28" s="5" t="s">
        <v>1</v>
      </c>
      <c r="E28" s="3"/>
      <c r="F28" s="5" t="s">
        <v>11</v>
      </c>
      <c r="G28" s="5" t="s">
        <v>16</v>
      </c>
      <c r="H28" s="5" t="s">
        <v>18</v>
      </c>
      <c r="I28" s="5" t="s">
        <v>16</v>
      </c>
      <c r="J28" s="5" t="s">
        <v>24</v>
      </c>
      <c r="K28" s="5" t="s">
        <v>27</v>
      </c>
    </row>
    <row r="29">
      <c r="D29" s="13" t="str">
        <f>'Project Timesheet'!D7</f>
        <v>PM01</v>
      </c>
      <c r="E29" s="13" t="str">
        <f>'Project Timesheet'!E7</f>
        <v>PW04</v>
      </c>
      <c r="F29" s="32">
        <f>'Project Timesheet'!F7</f>
        <v>46230</v>
      </c>
      <c r="G29" s="62">
        <f t="shared" ref="G29:I29" si="16">F29+1</f>
        <v>46231</v>
      </c>
      <c r="H29" s="62">
        <f t="shared" si="16"/>
        <v>46232</v>
      </c>
      <c r="I29" s="62">
        <f t="shared" si="16"/>
        <v>46233</v>
      </c>
      <c r="J29" s="32">
        <f>'Project Timesheet'!G7</f>
        <v>46234</v>
      </c>
      <c r="K29" s="13"/>
    </row>
    <row r="30">
      <c r="D30" s="21"/>
      <c r="E30" s="34"/>
      <c r="F30" s="30"/>
      <c r="G30" s="30"/>
      <c r="H30" s="30"/>
      <c r="I30" s="30"/>
      <c r="J30" s="30"/>
      <c r="K30" s="30"/>
    </row>
    <row r="31">
      <c r="D31" s="25" t="s">
        <v>87</v>
      </c>
      <c r="E31" s="38"/>
      <c r="F31" s="39">
        <f t="shared" ref="F31:J31" si="17">4</f>
        <v>4</v>
      </c>
      <c r="G31" s="39">
        <f t="shared" si="17"/>
        <v>4</v>
      </c>
      <c r="H31" s="39">
        <f t="shared" si="17"/>
        <v>4</v>
      </c>
      <c r="I31" s="39">
        <f t="shared" si="17"/>
        <v>4</v>
      </c>
      <c r="J31" s="39">
        <f t="shared" si="17"/>
        <v>4</v>
      </c>
      <c r="K31" s="39">
        <f t="shared" ref="K31:K32" si="19">sum(F31:J31)</f>
        <v>20</v>
      </c>
    </row>
    <row r="32">
      <c r="D32" s="28" t="s">
        <v>100</v>
      </c>
      <c r="E32" s="41"/>
      <c r="F32" s="42">
        <f t="shared" ref="F32:J32" si="18">4</f>
        <v>4</v>
      </c>
      <c r="G32" s="42">
        <f t="shared" si="18"/>
        <v>4</v>
      </c>
      <c r="H32" s="42">
        <f t="shared" si="18"/>
        <v>4</v>
      </c>
      <c r="I32" s="42">
        <f t="shared" si="18"/>
        <v>4</v>
      </c>
      <c r="J32" s="42">
        <f t="shared" si="18"/>
        <v>4</v>
      </c>
      <c r="K32" s="42">
        <f t="shared" si="19"/>
        <v>20</v>
      </c>
    </row>
    <row r="33">
      <c r="D33" s="30"/>
      <c r="E33" s="34"/>
      <c r="F33" s="30"/>
      <c r="G33" s="30"/>
      <c r="H33" s="30"/>
      <c r="I33" s="30"/>
      <c r="J33" s="30"/>
      <c r="K33" s="30"/>
    </row>
    <row r="34">
      <c r="D34" s="13"/>
      <c r="E34" s="15"/>
      <c r="F34" s="13">
        <f t="shared" ref="F34:J34" si="20">sum(F31:F32)</f>
        <v>8</v>
      </c>
      <c r="G34" s="13">
        <f t="shared" si="20"/>
        <v>8</v>
      </c>
      <c r="H34" s="13">
        <f t="shared" si="20"/>
        <v>8</v>
      </c>
      <c r="I34" s="13">
        <f t="shared" si="20"/>
        <v>8</v>
      </c>
      <c r="J34" s="13">
        <f t="shared" si="20"/>
        <v>8</v>
      </c>
      <c r="K34" s="13">
        <f>sum(F34:J34)</f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4.0"/>
    <col customWidth="1" min="3" max="3" width="4.38"/>
    <col customWidth="1" min="4" max="4" width="25.0"/>
    <col customWidth="1" min="5" max="5" width="5.5"/>
    <col customWidth="1" min="6" max="11" width="9.38"/>
    <col customWidth="1" min="12" max="31" width="12.88"/>
  </cols>
  <sheetData>
    <row r="2">
      <c r="D2" s="2" t="s">
        <v>1</v>
      </c>
      <c r="E2" s="3"/>
      <c r="F2" s="5" t="s">
        <v>11</v>
      </c>
      <c r="G2" s="5" t="s">
        <v>16</v>
      </c>
      <c r="H2" s="5" t="s">
        <v>18</v>
      </c>
      <c r="I2" s="5" t="s">
        <v>16</v>
      </c>
      <c r="J2" s="5" t="s">
        <v>24</v>
      </c>
      <c r="K2" s="5" t="s">
        <v>27</v>
      </c>
    </row>
    <row r="3">
      <c r="B3" s="6" t="str">
        <f>'Project Timesheet'!B4</f>
        <v>July</v>
      </c>
      <c r="C3" s="1" t="str">
        <f>'Project Timesheet'!C4</f>
        <v>PQ1</v>
      </c>
      <c r="D3" s="13" t="str">
        <f>'Project Timesheet'!D4</f>
        <v>PM01</v>
      </c>
      <c r="E3" s="15" t="str">
        <f>'Project Timesheet'!E4</f>
        <v>PW01</v>
      </c>
      <c r="F3" s="17">
        <f>'Project Timesheet'!F4</f>
        <v>46209</v>
      </c>
      <c r="G3" s="17">
        <f t="shared" ref="G3:I3" si="1">F3+1</f>
        <v>46210</v>
      </c>
      <c r="H3" s="17">
        <f t="shared" si="1"/>
        <v>46211</v>
      </c>
      <c r="I3" s="17">
        <f t="shared" si="1"/>
        <v>46212</v>
      </c>
      <c r="J3" s="17">
        <f>'Project Timesheet'!G4</f>
        <v>46213</v>
      </c>
      <c r="K3" s="13"/>
    </row>
    <row r="4">
      <c r="D4" s="21"/>
      <c r="E4" s="13"/>
      <c r="F4" s="13"/>
      <c r="G4" s="13"/>
      <c r="H4" s="13"/>
      <c r="I4" s="13"/>
      <c r="J4" s="13"/>
      <c r="K4" s="13"/>
    </row>
    <row r="5">
      <c r="D5" s="25" t="s">
        <v>87</v>
      </c>
      <c r="E5" s="13"/>
      <c r="F5" s="13"/>
      <c r="G5" s="13"/>
      <c r="H5" s="13"/>
      <c r="I5" s="13"/>
      <c r="J5" s="13"/>
      <c r="K5" s="13"/>
    </row>
    <row r="6">
      <c r="D6" s="27" t="s">
        <v>96</v>
      </c>
      <c r="E6" s="13"/>
      <c r="F6" s="13">
        <f t="shared" ref="F6:J6" si="2">4</f>
        <v>4</v>
      </c>
      <c r="G6" s="13">
        <f t="shared" si="2"/>
        <v>4</v>
      </c>
      <c r="H6" s="13">
        <f t="shared" si="2"/>
        <v>4</v>
      </c>
      <c r="I6" s="13">
        <f t="shared" si="2"/>
        <v>4</v>
      </c>
      <c r="J6" s="13">
        <f t="shared" si="2"/>
        <v>4</v>
      </c>
      <c r="K6" s="13">
        <f t="shared" ref="K6:K7" si="4">sum(F6:J6)</f>
        <v>20</v>
      </c>
    </row>
    <row r="7">
      <c r="D7" s="28" t="s">
        <v>100</v>
      </c>
      <c r="E7" s="13"/>
      <c r="F7" s="13">
        <f t="shared" ref="F7:J7" si="3">4</f>
        <v>4</v>
      </c>
      <c r="G7" s="13">
        <f t="shared" si="3"/>
        <v>4</v>
      </c>
      <c r="H7" s="13">
        <f t="shared" si="3"/>
        <v>4</v>
      </c>
      <c r="I7" s="13">
        <f t="shared" si="3"/>
        <v>4</v>
      </c>
      <c r="J7" s="13">
        <f t="shared" si="3"/>
        <v>4</v>
      </c>
      <c r="K7" s="13">
        <f t="shared" si="4"/>
        <v>20</v>
      </c>
    </row>
    <row r="8">
      <c r="D8" s="30"/>
      <c r="E8" s="13"/>
      <c r="F8" s="13"/>
      <c r="G8" s="13"/>
      <c r="H8" s="13"/>
      <c r="I8" s="13"/>
      <c r="J8" s="13"/>
      <c r="K8" s="13"/>
    </row>
    <row r="9">
      <c r="D9" s="13"/>
      <c r="E9" s="15"/>
      <c r="F9" s="13">
        <f t="shared" ref="F9:J9" si="5">sum(F6:F7)</f>
        <v>8</v>
      </c>
      <c r="G9" s="13">
        <f t="shared" si="5"/>
        <v>8</v>
      </c>
      <c r="H9" s="13">
        <f t="shared" si="5"/>
        <v>8</v>
      </c>
      <c r="I9" s="13">
        <f t="shared" si="5"/>
        <v>8</v>
      </c>
      <c r="J9" s="13">
        <f t="shared" si="5"/>
        <v>8</v>
      </c>
      <c r="K9" s="13">
        <f>sum(F9:J9)</f>
        <v>40</v>
      </c>
    </row>
    <row r="11">
      <c r="D11" s="5" t="s">
        <v>1</v>
      </c>
      <c r="E11" s="3"/>
      <c r="F11" s="5" t="s">
        <v>11</v>
      </c>
      <c r="G11" s="5" t="s">
        <v>16</v>
      </c>
      <c r="H11" s="5" t="s">
        <v>18</v>
      </c>
      <c r="I11" s="5" t="s">
        <v>16</v>
      </c>
      <c r="J11" s="5" t="s">
        <v>24</v>
      </c>
      <c r="K11" s="5" t="s">
        <v>27</v>
      </c>
    </row>
    <row r="12">
      <c r="B12" s="6" t="s">
        <v>7</v>
      </c>
      <c r="C12" s="1" t="s">
        <v>8</v>
      </c>
      <c r="D12" s="13" t="str">
        <f>'Project Timesheet'!D5</f>
        <v>PM01</v>
      </c>
      <c r="E12" s="13" t="str">
        <f>'Project Timesheet'!E5</f>
        <v>PW02</v>
      </c>
      <c r="F12" s="32">
        <f>'Project Timesheet'!F5</f>
        <v>46216</v>
      </c>
      <c r="G12" s="33">
        <f t="shared" ref="G12:J12" si="6">F12+1</f>
        <v>46217</v>
      </c>
      <c r="H12" s="33">
        <f t="shared" si="6"/>
        <v>46218</v>
      </c>
      <c r="I12" s="33">
        <f t="shared" si="6"/>
        <v>46219</v>
      </c>
      <c r="J12" s="33">
        <f t="shared" si="6"/>
        <v>46220</v>
      </c>
      <c r="K12" s="13"/>
    </row>
    <row r="13">
      <c r="D13" s="21"/>
      <c r="E13" s="34"/>
      <c r="F13" s="30"/>
      <c r="G13" s="30"/>
      <c r="H13" s="30"/>
      <c r="I13" s="30"/>
      <c r="J13" s="30"/>
      <c r="K13" s="30"/>
    </row>
    <row r="14">
      <c r="D14" s="21" t="s">
        <v>107</v>
      </c>
      <c r="E14" s="34"/>
      <c r="F14" s="30"/>
      <c r="G14" s="30"/>
      <c r="H14" s="30"/>
      <c r="I14" s="30"/>
      <c r="J14" s="30"/>
      <c r="K14" s="30"/>
    </row>
    <row r="15">
      <c r="D15" s="37" t="s">
        <v>109</v>
      </c>
      <c r="E15" s="38"/>
      <c r="F15" s="39">
        <f t="shared" ref="F15:J15" si="7">4</f>
        <v>4</v>
      </c>
      <c r="G15" s="39">
        <f t="shared" si="7"/>
        <v>4</v>
      </c>
      <c r="H15" s="39">
        <f t="shared" si="7"/>
        <v>4</v>
      </c>
      <c r="I15" s="39">
        <f t="shared" si="7"/>
        <v>4</v>
      </c>
      <c r="J15" s="39">
        <f t="shared" si="7"/>
        <v>4</v>
      </c>
      <c r="K15" s="39">
        <f t="shared" ref="K15:K16" si="9">sum(F15:J15)</f>
        <v>20</v>
      </c>
    </row>
    <row r="16">
      <c r="D16" s="40" t="s">
        <v>100</v>
      </c>
      <c r="E16" s="41"/>
      <c r="F16" s="42">
        <f t="shared" ref="F16:J16" si="8">4</f>
        <v>4</v>
      </c>
      <c r="G16" s="42">
        <f t="shared" si="8"/>
        <v>4</v>
      </c>
      <c r="H16" s="42">
        <f t="shared" si="8"/>
        <v>4</v>
      </c>
      <c r="I16" s="42">
        <f t="shared" si="8"/>
        <v>4</v>
      </c>
      <c r="J16" s="42">
        <f t="shared" si="8"/>
        <v>4</v>
      </c>
      <c r="K16" s="42">
        <f t="shared" si="9"/>
        <v>20</v>
      </c>
    </row>
    <row r="17">
      <c r="D17" s="30"/>
      <c r="E17" s="34"/>
      <c r="F17" s="30"/>
      <c r="G17" s="30"/>
      <c r="H17" s="30"/>
      <c r="I17" s="30"/>
      <c r="J17" s="30"/>
      <c r="K17" s="30"/>
    </row>
    <row r="18">
      <c r="D18" s="13"/>
      <c r="E18" s="15"/>
      <c r="F18" s="13">
        <f t="shared" ref="F18:J18" si="10">sum(F15:F16)</f>
        <v>8</v>
      </c>
      <c r="G18" s="13">
        <f t="shared" si="10"/>
        <v>8</v>
      </c>
      <c r="H18" s="13">
        <f t="shared" si="10"/>
        <v>8</v>
      </c>
      <c r="I18" s="13">
        <f t="shared" si="10"/>
        <v>8</v>
      </c>
      <c r="J18" s="13">
        <f t="shared" si="10"/>
        <v>8</v>
      </c>
      <c r="K18" s="13">
        <f>sum(F18:J18)</f>
        <v>40</v>
      </c>
    </row>
    <row r="19">
      <c r="G19" s="44"/>
      <c r="H19" s="44"/>
      <c r="I19" s="44"/>
    </row>
    <row r="20">
      <c r="B20" s="6" t="s">
        <v>7</v>
      </c>
      <c r="C20" s="1" t="s">
        <v>8</v>
      </c>
      <c r="D20" s="5" t="s">
        <v>1</v>
      </c>
      <c r="E20" s="3"/>
      <c r="F20" s="5" t="s">
        <v>11</v>
      </c>
      <c r="G20" s="5" t="s">
        <v>16</v>
      </c>
      <c r="H20" s="5" t="s">
        <v>18</v>
      </c>
      <c r="I20" s="5" t="s">
        <v>16</v>
      </c>
      <c r="J20" s="5" t="s">
        <v>24</v>
      </c>
      <c r="K20" s="5" t="s">
        <v>27</v>
      </c>
    </row>
    <row r="21">
      <c r="D21" s="13" t="str">
        <f>'Project Timesheet'!D6</f>
        <v>PM01</v>
      </c>
      <c r="E21" s="13" t="str">
        <f>'Project Timesheet'!E6</f>
        <v>PW03</v>
      </c>
      <c r="F21" s="32">
        <f>'Project Timesheet'!F6</f>
        <v>46223</v>
      </c>
      <c r="G21" s="17">
        <f t="shared" ref="G21:J21" si="11">F21+1</f>
        <v>46224</v>
      </c>
      <c r="H21" s="17">
        <f t="shared" si="11"/>
        <v>46225</v>
      </c>
      <c r="I21" s="17">
        <f t="shared" si="11"/>
        <v>46226</v>
      </c>
      <c r="J21" s="17">
        <f t="shared" si="11"/>
        <v>46227</v>
      </c>
      <c r="K21" s="13"/>
    </row>
    <row r="22">
      <c r="D22" s="21"/>
      <c r="E22" s="34"/>
      <c r="F22" s="30"/>
      <c r="G22" s="30"/>
      <c r="H22" s="30"/>
      <c r="I22" s="30"/>
      <c r="J22" s="30"/>
      <c r="K22" s="30"/>
    </row>
    <row r="23">
      <c r="D23" s="25" t="s">
        <v>87</v>
      </c>
      <c r="E23" s="38"/>
      <c r="F23" s="39">
        <f t="shared" ref="F23:J23" si="12">4</f>
        <v>4</v>
      </c>
      <c r="G23" s="39">
        <f t="shared" si="12"/>
        <v>4</v>
      </c>
      <c r="H23" s="39">
        <f t="shared" si="12"/>
        <v>4</v>
      </c>
      <c r="I23" s="39">
        <f t="shared" si="12"/>
        <v>4</v>
      </c>
      <c r="J23" s="39">
        <f t="shared" si="12"/>
        <v>4</v>
      </c>
      <c r="K23" s="39">
        <f t="shared" ref="K23:K24" si="14">sum(F23:J23)</f>
        <v>20</v>
      </c>
    </row>
    <row r="24">
      <c r="D24" s="28" t="s">
        <v>100</v>
      </c>
      <c r="E24" s="41"/>
      <c r="F24" s="42">
        <f t="shared" ref="F24:J24" si="13">4</f>
        <v>4</v>
      </c>
      <c r="G24" s="42">
        <f t="shared" si="13"/>
        <v>4</v>
      </c>
      <c r="H24" s="42">
        <f t="shared" si="13"/>
        <v>4</v>
      </c>
      <c r="I24" s="42">
        <f t="shared" si="13"/>
        <v>4</v>
      </c>
      <c r="J24" s="42">
        <f t="shared" si="13"/>
        <v>4</v>
      </c>
      <c r="K24" s="42">
        <f t="shared" si="14"/>
        <v>20</v>
      </c>
    </row>
    <row r="25">
      <c r="D25" s="30"/>
      <c r="E25" s="34"/>
      <c r="F25" s="30"/>
      <c r="G25" s="30"/>
      <c r="H25" s="30"/>
      <c r="I25" s="30"/>
      <c r="J25" s="30"/>
      <c r="K25" s="30"/>
    </row>
    <row r="26">
      <c r="D26" s="13"/>
      <c r="E26" s="15"/>
      <c r="F26" s="13">
        <f t="shared" ref="F26:J26" si="15">sum(F23:F24)</f>
        <v>8</v>
      </c>
      <c r="G26" s="13">
        <f t="shared" si="15"/>
        <v>8</v>
      </c>
      <c r="H26" s="13">
        <f t="shared" si="15"/>
        <v>8</v>
      </c>
      <c r="I26" s="13">
        <f t="shared" si="15"/>
        <v>8</v>
      </c>
      <c r="J26" s="13">
        <f t="shared" si="15"/>
        <v>8</v>
      </c>
      <c r="K26" s="13">
        <f>sum(F26:J26)</f>
        <v>40</v>
      </c>
    </row>
    <row r="28">
      <c r="B28" s="6" t="s">
        <v>7</v>
      </c>
      <c r="C28" s="1" t="s">
        <v>8</v>
      </c>
      <c r="D28" s="5" t="s">
        <v>1</v>
      </c>
      <c r="E28" s="3"/>
      <c r="F28" s="5" t="s">
        <v>11</v>
      </c>
      <c r="G28" s="5" t="s">
        <v>16</v>
      </c>
      <c r="H28" s="5" t="s">
        <v>18</v>
      </c>
      <c r="I28" s="5" t="s">
        <v>16</v>
      </c>
      <c r="J28" s="5" t="s">
        <v>24</v>
      </c>
      <c r="K28" s="5" t="s">
        <v>27</v>
      </c>
    </row>
    <row r="29">
      <c r="D29" s="13" t="str">
        <f>'Project Timesheet'!D7</f>
        <v>PM01</v>
      </c>
      <c r="E29" s="13" t="str">
        <f>'Project Timesheet'!E7</f>
        <v>PW04</v>
      </c>
      <c r="F29" s="32">
        <f>'Project Timesheet'!F7</f>
        <v>46230</v>
      </c>
      <c r="G29" s="62">
        <f t="shared" ref="G29:I29" si="16">F29+1</f>
        <v>46231</v>
      </c>
      <c r="H29" s="62">
        <f t="shared" si="16"/>
        <v>46232</v>
      </c>
      <c r="I29" s="62">
        <f t="shared" si="16"/>
        <v>46233</v>
      </c>
      <c r="J29" s="32">
        <f>'Project Timesheet'!G7</f>
        <v>46234</v>
      </c>
      <c r="K29" s="13"/>
    </row>
    <row r="30">
      <c r="D30" s="21"/>
      <c r="E30" s="34"/>
      <c r="F30" s="30"/>
      <c r="G30" s="30"/>
      <c r="H30" s="30"/>
      <c r="I30" s="30"/>
      <c r="J30" s="30"/>
      <c r="K30" s="30"/>
    </row>
    <row r="31">
      <c r="D31" s="25" t="s">
        <v>87</v>
      </c>
      <c r="E31" s="38"/>
      <c r="F31" s="39">
        <f t="shared" ref="F31:J31" si="17">4</f>
        <v>4</v>
      </c>
      <c r="G31" s="39">
        <f t="shared" si="17"/>
        <v>4</v>
      </c>
      <c r="H31" s="39">
        <f t="shared" si="17"/>
        <v>4</v>
      </c>
      <c r="I31" s="39">
        <f t="shared" si="17"/>
        <v>4</v>
      </c>
      <c r="J31" s="39">
        <f t="shared" si="17"/>
        <v>4</v>
      </c>
      <c r="K31" s="39">
        <f t="shared" ref="K31:K32" si="19">sum(F31:J31)</f>
        <v>20</v>
      </c>
    </row>
    <row r="32">
      <c r="D32" s="28" t="s">
        <v>100</v>
      </c>
      <c r="E32" s="41"/>
      <c r="F32" s="42">
        <f t="shared" ref="F32:J32" si="18">4</f>
        <v>4</v>
      </c>
      <c r="G32" s="42">
        <f t="shared" si="18"/>
        <v>4</v>
      </c>
      <c r="H32" s="42">
        <f t="shared" si="18"/>
        <v>4</v>
      </c>
      <c r="I32" s="42">
        <f t="shared" si="18"/>
        <v>4</v>
      </c>
      <c r="J32" s="42">
        <f t="shared" si="18"/>
        <v>4</v>
      </c>
      <c r="K32" s="42">
        <f t="shared" si="19"/>
        <v>20</v>
      </c>
    </row>
    <row r="33">
      <c r="D33" s="30"/>
      <c r="E33" s="34"/>
      <c r="F33" s="30"/>
      <c r="G33" s="30"/>
      <c r="H33" s="30"/>
      <c r="I33" s="30"/>
      <c r="J33" s="30"/>
      <c r="K33" s="30"/>
    </row>
    <row r="34">
      <c r="D34" s="13"/>
      <c r="E34" s="15"/>
      <c r="F34" s="13">
        <f t="shared" ref="F34:J34" si="20">sum(F31:F32)</f>
        <v>8</v>
      </c>
      <c r="G34" s="13">
        <f t="shared" si="20"/>
        <v>8</v>
      </c>
      <c r="H34" s="13">
        <f t="shared" si="20"/>
        <v>8</v>
      </c>
      <c r="I34" s="13">
        <f t="shared" si="20"/>
        <v>8</v>
      </c>
      <c r="J34" s="13">
        <f t="shared" si="20"/>
        <v>8</v>
      </c>
      <c r="K34" s="13">
        <f>sum(F34:J34)</f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.0"/>
    <col customWidth="1" min="3" max="3" width="4.38"/>
    <col customWidth="1" min="4" max="4" width="31.25"/>
    <col customWidth="1" min="5" max="6" width="12.0"/>
    <col customWidth="1" min="7" max="11" width="9.38"/>
    <col customWidth="1" min="12" max="12" width="10.75"/>
  </cols>
  <sheetData>
    <row r="2">
      <c r="B2" s="6" t="s">
        <v>7</v>
      </c>
      <c r="C2" s="1" t="s">
        <v>8</v>
      </c>
      <c r="D2" s="7" t="s">
        <v>22</v>
      </c>
      <c r="E2" s="8" t="s">
        <v>26</v>
      </c>
      <c r="F2" s="9"/>
      <c r="G2" s="8" t="s">
        <v>11</v>
      </c>
      <c r="H2" s="8" t="s">
        <v>16</v>
      </c>
      <c r="I2" s="8" t="s">
        <v>18</v>
      </c>
      <c r="J2" s="8" t="s">
        <v>16</v>
      </c>
      <c r="K2" s="8" t="s">
        <v>24</v>
      </c>
      <c r="L2" s="10" t="s">
        <v>35</v>
      </c>
    </row>
    <row r="3">
      <c r="D3" s="11" t="str">
        <f>'Project Timesheet'!D6</f>
        <v>PM01</v>
      </c>
      <c r="E3" s="12"/>
      <c r="F3" s="14" t="str">
        <f>'Project Timesheet'!E6</f>
        <v>PW03</v>
      </c>
      <c r="G3" s="16">
        <f>'Project Timesheet'!F6</f>
        <v>46223</v>
      </c>
      <c r="H3" s="19">
        <f t="shared" ref="H3:K3" si="1">G3+1</f>
        <v>46224</v>
      </c>
      <c r="I3" s="19">
        <f t="shared" si="1"/>
        <v>46225</v>
      </c>
      <c r="J3" s="19">
        <f t="shared" si="1"/>
        <v>46226</v>
      </c>
      <c r="K3" s="19">
        <f t="shared" si="1"/>
        <v>46227</v>
      </c>
      <c r="L3" s="20"/>
    </row>
    <row r="4">
      <c r="D4" s="2"/>
      <c r="E4" s="13"/>
      <c r="F4" s="13"/>
      <c r="G4" s="13"/>
      <c r="H4" s="13"/>
      <c r="I4" s="13"/>
      <c r="J4" s="13"/>
      <c r="K4" s="13"/>
      <c r="L4" s="13"/>
    </row>
    <row r="5">
      <c r="D5" s="22" t="s">
        <v>77</v>
      </c>
      <c r="E5" s="23">
        <v>8.0</v>
      </c>
      <c r="F5" s="24"/>
      <c r="G5" s="23">
        <v>2.0</v>
      </c>
      <c r="H5" s="24"/>
      <c r="I5" s="24"/>
      <c r="J5" s="24"/>
      <c r="K5" s="23">
        <v>4.0</v>
      </c>
      <c r="L5" s="24">
        <f t="shared" ref="L5:L6" si="2">sum(G5:K5)</f>
        <v>6</v>
      </c>
    </row>
    <row r="6">
      <c r="D6" s="26" t="s">
        <v>94</v>
      </c>
      <c r="E6" s="24"/>
      <c r="F6" s="24"/>
      <c r="G6" s="24"/>
      <c r="H6" s="24"/>
      <c r="I6" s="24"/>
      <c r="J6" s="24"/>
      <c r="K6" s="24"/>
      <c r="L6" s="24">
        <f t="shared" si="2"/>
        <v>0</v>
      </c>
    </row>
    <row r="7">
      <c r="D7" s="2"/>
      <c r="E7" s="23"/>
      <c r="F7" s="24"/>
      <c r="G7" s="24"/>
      <c r="H7" s="24"/>
      <c r="I7" s="24"/>
      <c r="J7" s="24"/>
      <c r="K7" s="24"/>
      <c r="L7" s="13"/>
    </row>
    <row r="8">
      <c r="D8" s="5" t="s">
        <v>99</v>
      </c>
      <c r="E8" s="23">
        <v>8.0</v>
      </c>
      <c r="F8" s="24"/>
      <c r="G8" s="24"/>
      <c r="H8" s="24"/>
      <c r="I8" s="24"/>
      <c r="J8" s="24"/>
      <c r="K8" s="24"/>
      <c r="L8" s="24">
        <f t="shared" ref="L8:L11" si="3">sum(G8:K8)</f>
        <v>0</v>
      </c>
    </row>
    <row r="9">
      <c r="D9" s="29" t="s">
        <v>101</v>
      </c>
      <c r="E9" s="24"/>
      <c r="F9" s="24"/>
      <c r="G9" s="24"/>
      <c r="H9" s="24"/>
      <c r="I9" s="24"/>
      <c r="J9" s="24"/>
      <c r="K9" s="24"/>
      <c r="L9" s="24">
        <f t="shared" si="3"/>
        <v>0</v>
      </c>
    </row>
    <row r="10">
      <c r="D10" s="29" t="s">
        <v>102</v>
      </c>
      <c r="E10" s="24"/>
      <c r="F10" s="24"/>
      <c r="G10" s="24"/>
      <c r="H10" s="24"/>
      <c r="I10" s="24"/>
      <c r="J10" s="24"/>
      <c r="K10" s="24"/>
      <c r="L10" s="24">
        <f t="shared" si="3"/>
        <v>0</v>
      </c>
    </row>
    <row r="11">
      <c r="D11" s="29" t="s">
        <v>103</v>
      </c>
      <c r="E11" s="24"/>
      <c r="F11" s="24"/>
      <c r="G11" s="24"/>
      <c r="H11" s="24"/>
      <c r="I11" s="24"/>
      <c r="J11" s="24"/>
      <c r="K11" s="24"/>
      <c r="L11" s="24">
        <f t="shared" si="3"/>
        <v>0</v>
      </c>
    </row>
    <row r="12">
      <c r="D12" s="2"/>
      <c r="E12" s="23"/>
      <c r="F12" s="24"/>
      <c r="G12" s="24"/>
      <c r="H12" s="24"/>
      <c r="I12" s="24"/>
      <c r="J12" s="24"/>
      <c r="K12" s="24"/>
      <c r="L12" s="13"/>
    </row>
    <row r="13">
      <c r="D13" s="5" t="s">
        <v>104</v>
      </c>
      <c r="E13" s="23">
        <v>16.0</v>
      </c>
      <c r="F13" s="24"/>
      <c r="G13" s="23">
        <v>4.0</v>
      </c>
      <c r="H13" s="23">
        <v>4.0</v>
      </c>
      <c r="I13" s="23">
        <v>8.0</v>
      </c>
      <c r="J13" s="23">
        <v>12.0</v>
      </c>
      <c r="K13" s="24"/>
      <c r="L13" s="24">
        <f t="shared" ref="L13:L15" si="4">sum(G13:K13)</f>
        <v>28</v>
      </c>
    </row>
    <row r="14">
      <c r="D14" s="31" t="s">
        <v>105</v>
      </c>
      <c r="E14" s="24"/>
      <c r="F14" s="24"/>
      <c r="G14" s="23">
        <v>2.0</v>
      </c>
      <c r="H14" s="24"/>
      <c r="I14" s="24"/>
      <c r="J14" s="24"/>
      <c r="K14" s="24"/>
      <c r="L14" s="24">
        <f t="shared" si="4"/>
        <v>2</v>
      </c>
    </row>
    <row r="15">
      <c r="D15" s="31" t="s">
        <v>106</v>
      </c>
      <c r="E15" s="24"/>
      <c r="F15" s="24"/>
      <c r="G15" s="24"/>
      <c r="H15" s="24"/>
      <c r="I15" s="24"/>
      <c r="J15" s="24"/>
      <c r="K15" s="24"/>
      <c r="L15" s="24">
        <f t="shared" si="4"/>
        <v>0</v>
      </c>
    </row>
    <row r="16">
      <c r="D16" s="35"/>
      <c r="E16" s="23"/>
      <c r="F16" s="24"/>
      <c r="G16" s="24"/>
      <c r="H16" s="24"/>
      <c r="I16" s="24"/>
      <c r="J16" s="24"/>
      <c r="K16" s="24"/>
      <c r="L16" s="13"/>
    </row>
    <row r="17">
      <c r="D17" s="36" t="s">
        <v>108</v>
      </c>
      <c r="E17" s="23">
        <v>4.0</v>
      </c>
      <c r="F17" s="24"/>
      <c r="G17" s="24"/>
      <c r="H17" s="24"/>
      <c r="I17" s="24"/>
      <c r="J17" s="24"/>
      <c r="K17" s="24"/>
      <c r="L17" s="24">
        <f t="shared" ref="L17:L19" si="5">sum(G17:K17)</f>
        <v>0</v>
      </c>
    </row>
    <row r="18">
      <c r="D18" s="31" t="s">
        <v>110</v>
      </c>
      <c r="E18" s="24"/>
      <c r="F18" s="24"/>
      <c r="G18" s="24"/>
      <c r="H18" s="23">
        <v>4.0</v>
      </c>
      <c r="I18" s="24"/>
      <c r="J18" s="24"/>
      <c r="K18" s="24"/>
      <c r="L18" s="24">
        <f t="shared" si="5"/>
        <v>4</v>
      </c>
    </row>
    <row r="19">
      <c r="D19" s="31" t="s">
        <v>111</v>
      </c>
      <c r="E19" s="24"/>
      <c r="F19" s="24"/>
      <c r="G19" s="24"/>
      <c r="H19" s="24"/>
      <c r="I19" s="24"/>
      <c r="J19" s="24"/>
      <c r="K19" s="24"/>
      <c r="L19" s="24">
        <f t="shared" si="5"/>
        <v>0</v>
      </c>
    </row>
    <row r="20">
      <c r="D20" s="35"/>
      <c r="E20" s="23"/>
      <c r="F20" s="24"/>
      <c r="G20" s="24"/>
      <c r="H20" s="24"/>
      <c r="I20" s="24"/>
      <c r="J20" s="24"/>
      <c r="K20" s="24"/>
      <c r="L20" s="13"/>
    </row>
    <row r="21">
      <c r="D21" s="36" t="s">
        <v>112</v>
      </c>
      <c r="E21" s="23">
        <v>4.0</v>
      </c>
      <c r="F21" s="24"/>
      <c r="G21" s="24"/>
      <c r="H21" s="24"/>
      <c r="I21" s="24"/>
      <c r="J21" s="24"/>
      <c r="K21" s="24"/>
      <c r="L21" s="24">
        <f t="shared" ref="L21:L24" si="6">sum(G21:K21)</f>
        <v>0</v>
      </c>
    </row>
    <row r="22">
      <c r="D22" s="31" t="s">
        <v>113</v>
      </c>
      <c r="E22" s="24"/>
      <c r="F22" s="24"/>
      <c r="G22" s="24"/>
      <c r="H22" s="24"/>
      <c r="I22" s="24"/>
      <c r="J22" s="24"/>
      <c r="K22" s="24"/>
      <c r="L22" s="24">
        <f t="shared" si="6"/>
        <v>0</v>
      </c>
    </row>
    <row r="23">
      <c r="D23" s="31" t="s">
        <v>114</v>
      </c>
      <c r="E23" s="24"/>
      <c r="F23" s="24"/>
      <c r="G23" s="24"/>
      <c r="H23" s="24"/>
      <c r="I23" s="24"/>
      <c r="J23" s="24"/>
      <c r="K23" s="24"/>
      <c r="L23" s="24">
        <f t="shared" si="6"/>
        <v>0</v>
      </c>
    </row>
    <row r="24">
      <c r="D24" s="31" t="s">
        <v>115</v>
      </c>
      <c r="E24" s="24"/>
      <c r="F24" s="24"/>
      <c r="G24" s="24"/>
      <c r="H24" s="24"/>
      <c r="I24" s="24"/>
      <c r="J24" s="24"/>
      <c r="K24" s="24"/>
      <c r="L24" s="24">
        <f t="shared" si="6"/>
        <v>0</v>
      </c>
    </row>
    <row r="26">
      <c r="D26" s="45" t="s">
        <v>116</v>
      </c>
      <c r="E26" s="46">
        <f t="shared" ref="E26:L26" si="7">sum(E5:E24)</f>
        <v>40</v>
      </c>
      <c r="F26" s="46">
        <f t="shared" si="7"/>
        <v>0</v>
      </c>
      <c r="G26" s="46">
        <f t="shared" si="7"/>
        <v>8</v>
      </c>
      <c r="H26" s="46">
        <f t="shared" si="7"/>
        <v>8</v>
      </c>
      <c r="I26" s="46">
        <f t="shared" si="7"/>
        <v>8</v>
      </c>
      <c r="J26" s="46">
        <f t="shared" si="7"/>
        <v>12</v>
      </c>
      <c r="K26" s="46">
        <f t="shared" si="7"/>
        <v>4</v>
      </c>
      <c r="L26" s="48">
        <f t="shared" si="7"/>
        <v>40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.0"/>
    <col customWidth="1" min="3" max="3" width="4.38"/>
    <col customWidth="1" min="4" max="4" width="31.25"/>
    <col customWidth="1" min="5" max="7" width="12.0"/>
    <col customWidth="1" min="8" max="12" width="9.38"/>
    <col customWidth="1" min="13" max="13" width="10.75"/>
  </cols>
  <sheetData>
    <row r="2">
      <c r="B2" s="6" t="s">
        <v>7</v>
      </c>
      <c r="C2" s="1" t="s">
        <v>8</v>
      </c>
      <c r="D2" s="7" t="s">
        <v>22</v>
      </c>
      <c r="E2" s="8"/>
      <c r="F2" s="43"/>
      <c r="G2" s="9"/>
      <c r="H2" s="5" t="s">
        <v>11</v>
      </c>
      <c r="I2" s="5" t="s">
        <v>16</v>
      </c>
      <c r="J2" s="5" t="s">
        <v>18</v>
      </c>
      <c r="K2" s="5" t="s">
        <v>16</v>
      </c>
      <c r="L2" s="5" t="s">
        <v>24</v>
      </c>
      <c r="M2" s="10" t="s">
        <v>35</v>
      </c>
      <c r="N2" s="25" t="s">
        <v>117</v>
      </c>
    </row>
    <row r="3">
      <c r="D3" s="11" t="str">
        <f>'Project Timesheet'!D6</f>
        <v>PM01</v>
      </c>
      <c r="E3" s="12"/>
      <c r="F3" s="47" t="s">
        <v>26</v>
      </c>
      <c r="G3" s="14" t="str">
        <f>'July Planned Activity'!E29</f>
        <v>PW04</v>
      </c>
      <c r="H3" s="32">
        <f>'July Planned Activity'!F29</f>
        <v>46230</v>
      </c>
      <c r="I3" s="32">
        <f>'July Planned Activity'!G29</f>
        <v>46231</v>
      </c>
      <c r="J3" s="32">
        <f>'July Planned Activity'!H29</f>
        <v>46232</v>
      </c>
      <c r="K3" s="32">
        <f>'July Planned Activity'!I29</f>
        <v>46233</v>
      </c>
      <c r="L3" s="32">
        <f>'July Planned Activity'!J29</f>
        <v>46234</v>
      </c>
      <c r="M3" s="20"/>
      <c r="N3" s="30"/>
    </row>
    <row r="4">
      <c r="D4" s="1"/>
      <c r="H4" s="13"/>
      <c r="I4" s="13"/>
      <c r="J4" s="13"/>
      <c r="K4" s="13"/>
      <c r="L4" s="13"/>
      <c r="N4" s="30"/>
    </row>
    <row r="5">
      <c r="D5" s="49"/>
      <c r="E5" s="50"/>
      <c r="F5" s="50"/>
      <c r="G5" s="51"/>
      <c r="H5" s="23"/>
      <c r="I5" s="24"/>
      <c r="J5" s="24"/>
      <c r="K5" s="24"/>
      <c r="L5" s="23"/>
      <c r="N5" s="30"/>
    </row>
    <row r="6">
      <c r="D6" s="52" t="s">
        <v>77</v>
      </c>
      <c r="E6" s="53">
        <f>sum(F7:F8)</f>
        <v>5</v>
      </c>
      <c r="F6" s="54"/>
      <c r="G6" s="46"/>
      <c r="H6" s="23"/>
      <c r="I6" s="24"/>
      <c r="J6" s="24"/>
      <c r="K6" s="24"/>
      <c r="L6" s="23"/>
      <c r="M6" s="55"/>
      <c r="N6" s="24">
        <f>sum(M7:M8)</f>
        <v>5</v>
      </c>
    </row>
    <row r="7">
      <c r="D7" s="56" t="s">
        <v>118</v>
      </c>
      <c r="E7" s="50"/>
      <c r="F7" s="50">
        <v>1.0</v>
      </c>
      <c r="G7" s="51"/>
      <c r="H7" s="24"/>
      <c r="I7" s="24"/>
      <c r="J7" s="23"/>
      <c r="K7" s="23">
        <v>1.0</v>
      </c>
      <c r="L7" s="24"/>
      <c r="M7" s="57">
        <f t="shared" ref="M7:M8" si="1">sum(H7:L7)</f>
        <v>1</v>
      </c>
      <c r="N7" s="30"/>
    </row>
    <row r="8">
      <c r="D8" s="58" t="s">
        <v>119</v>
      </c>
      <c r="E8" s="59"/>
      <c r="F8" s="59">
        <v>4.0</v>
      </c>
      <c r="G8" s="60"/>
      <c r="H8" s="24"/>
      <c r="I8" s="24"/>
      <c r="J8" s="23"/>
      <c r="K8" s="23">
        <v>4.0</v>
      </c>
      <c r="L8" s="24"/>
      <c r="M8" s="61">
        <f t="shared" si="1"/>
        <v>4</v>
      </c>
      <c r="N8" s="30"/>
    </row>
    <row r="9">
      <c r="D9" s="63"/>
      <c r="E9" s="50"/>
      <c r="F9" s="50"/>
      <c r="G9" s="51"/>
      <c r="H9" s="24"/>
      <c r="I9" s="24"/>
      <c r="J9" s="24"/>
      <c r="K9" s="24"/>
      <c r="L9" s="24"/>
      <c r="N9" s="30"/>
    </row>
    <row r="10">
      <c r="D10" s="45" t="s">
        <v>99</v>
      </c>
      <c r="E10" s="53">
        <f>sum(F11:F12)</f>
        <v>8</v>
      </c>
      <c r="F10" s="54"/>
      <c r="G10" s="46"/>
      <c r="H10" s="24"/>
      <c r="I10" s="24"/>
      <c r="J10" s="24"/>
      <c r="K10" s="24"/>
      <c r="L10" s="24"/>
      <c r="M10" s="48">
        <f t="shared" ref="M10:M11" si="2">sum(H10:L10)</f>
        <v>0</v>
      </c>
      <c r="N10" s="24">
        <f>sum(M10:M11)</f>
        <v>6</v>
      </c>
    </row>
    <row r="11">
      <c r="D11" s="64" t="s">
        <v>120</v>
      </c>
      <c r="E11" s="59"/>
      <c r="F11" s="59">
        <v>8.0</v>
      </c>
      <c r="G11" s="60"/>
      <c r="H11" s="23">
        <v>2.0</v>
      </c>
      <c r="I11" s="24"/>
      <c r="J11" s="24"/>
      <c r="K11" s="24"/>
      <c r="L11" s="23">
        <v>4.0</v>
      </c>
      <c r="M11" s="61">
        <f t="shared" si="2"/>
        <v>6</v>
      </c>
      <c r="N11" s="30"/>
    </row>
    <row r="12">
      <c r="D12" s="65"/>
      <c r="E12" s="51"/>
      <c r="F12" s="51"/>
      <c r="G12" s="51"/>
      <c r="H12" s="24"/>
      <c r="I12" s="24"/>
      <c r="J12" s="24"/>
      <c r="K12" s="24"/>
      <c r="L12" s="24"/>
      <c r="N12" s="30"/>
    </row>
    <row r="13">
      <c r="D13" s="1"/>
      <c r="E13" s="50"/>
      <c r="F13" s="50"/>
      <c r="G13" s="51"/>
      <c r="H13" s="24"/>
      <c r="I13" s="24"/>
      <c r="J13" s="24"/>
      <c r="K13" s="24"/>
      <c r="L13" s="24"/>
      <c r="N13" s="30"/>
    </row>
    <row r="14">
      <c r="D14" s="45" t="s">
        <v>104</v>
      </c>
      <c r="E14" s="53">
        <f>sum(F15:F20)</f>
        <v>19</v>
      </c>
      <c r="F14" s="54"/>
      <c r="G14" s="46"/>
      <c r="H14" s="23"/>
      <c r="I14" s="23"/>
      <c r="J14" s="23"/>
      <c r="K14" s="23"/>
      <c r="L14" s="24"/>
      <c r="M14" s="48">
        <f t="shared" ref="M14:M20" si="3">sum(H14:L14)</f>
        <v>0</v>
      </c>
      <c r="N14" s="24">
        <f>sum(M15:M16)</f>
        <v>8</v>
      </c>
    </row>
    <row r="15">
      <c r="D15" s="66" t="s">
        <v>121</v>
      </c>
      <c r="E15" s="51"/>
      <c r="F15" s="50">
        <v>4.0</v>
      </c>
      <c r="G15" s="51"/>
      <c r="H15" s="23">
        <v>2.0</v>
      </c>
      <c r="I15" s="23">
        <v>2.0</v>
      </c>
      <c r="J15" s="24"/>
      <c r="K15" s="24"/>
      <c r="L15" s="24"/>
      <c r="M15" s="57">
        <f t="shared" si="3"/>
        <v>4</v>
      </c>
      <c r="N15" s="30"/>
    </row>
    <row r="16">
      <c r="D16" s="66" t="s">
        <v>122</v>
      </c>
      <c r="E16" s="51"/>
      <c r="F16" s="50">
        <v>4.0</v>
      </c>
      <c r="G16" s="51"/>
      <c r="H16" s="23">
        <v>2.0</v>
      </c>
      <c r="I16" s="23">
        <v>2.0</v>
      </c>
      <c r="J16" s="24"/>
      <c r="K16" s="24"/>
      <c r="L16" s="24"/>
      <c r="M16" s="57">
        <f t="shared" si="3"/>
        <v>4</v>
      </c>
      <c r="N16" s="30"/>
    </row>
    <row r="17">
      <c r="D17" s="66" t="s">
        <v>123</v>
      </c>
      <c r="E17" s="50"/>
      <c r="F17" s="50">
        <v>4.0</v>
      </c>
      <c r="G17" s="51"/>
      <c r="H17" s="23">
        <v>1.0</v>
      </c>
      <c r="I17" s="23">
        <v>1.0</v>
      </c>
      <c r="J17" s="23">
        <v>2.0</v>
      </c>
      <c r="K17" s="24"/>
      <c r="L17" s="24"/>
      <c r="M17" s="57">
        <f t="shared" si="3"/>
        <v>4</v>
      </c>
      <c r="N17" s="30"/>
    </row>
    <row r="18">
      <c r="D18" s="66" t="s">
        <v>124</v>
      </c>
      <c r="E18" s="50"/>
      <c r="F18" s="50">
        <v>4.0</v>
      </c>
      <c r="G18" s="51"/>
      <c r="H18" s="23">
        <v>1.0</v>
      </c>
      <c r="I18" s="23">
        <v>1.0</v>
      </c>
      <c r="J18" s="23">
        <v>1.0</v>
      </c>
      <c r="K18" s="23">
        <v>1.0</v>
      </c>
      <c r="L18" s="24"/>
      <c r="M18" s="57">
        <f t="shared" si="3"/>
        <v>4</v>
      </c>
      <c r="N18" s="30"/>
    </row>
    <row r="19">
      <c r="D19" s="66" t="s">
        <v>125</v>
      </c>
      <c r="E19" s="50"/>
      <c r="F19" s="50">
        <v>2.0</v>
      </c>
      <c r="G19" s="51"/>
      <c r="H19" s="24"/>
      <c r="I19" s="24"/>
      <c r="J19" s="23">
        <v>2.0</v>
      </c>
      <c r="K19" s="24"/>
      <c r="L19" s="24"/>
      <c r="M19" s="57">
        <f t="shared" si="3"/>
        <v>2</v>
      </c>
      <c r="N19" s="30"/>
    </row>
    <row r="20">
      <c r="D20" s="67" t="s">
        <v>126</v>
      </c>
      <c r="E20" s="59"/>
      <c r="F20" s="59">
        <v>1.0</v>
      </c>
      <c r="G20" s="60"/>
      <c r="H20" s="24"/>
      <c r="I20" s="24"/>
      <c r="J20" s="24"/>
      <c r="K20" s="24"/>
      <c r="L20" s="23">
        <v>1.0</v>
      </c>
      <c r="M20" s="61">
        <f t="shared" si="3"/>
        <v>1</v>
      </c>
      <c r="N20" s="30"/>
    </row>
    <row r="21">
      <c r="H21" s="13"/>
      <c r="I21" s="13"/>
      <c r="J21" s="13"/>
      <c r="K21" s="13"/>
      <c r="L21" s="13"/>
      <c r="N21" s="30"/>
    </row>
    <row r="22">
      <c r="D22" s="45" t="s">
        <v>127</v>
      </c>
      <c r="E22" s="53">
        <f>sum(F23)</f>
        <v>2</v>
      </c>
      <c r="F22" s="68"/>
      <c r="G22" s="68"/>
      <c r="H22" s="13"/>
      <c r="I22" s="13"/>
      <c r="J22" s="13"/>
      <c r="K22" s="13"/>
      <c r="L22" s="13"/>
      <c r="M22" s="55">
        <f t="shared" ref="M22:M23" si="4">sum(H22:L22)</f>
        <v>0</v>
      </c>
      <c r="N22" s="13">
        <f>sum(M23:M24)</f>
        <v>2</v>
      </c>
    </row>
    <row r="23">
      <c r="D23" s="58" t="s">
        <v>128</v>
      </c>
      <c r="E23" s="12"/>
      <c r="F23" s="69">
        <v>2.0</v>
      </c>
      <c r="G23" s="12"/>
      <c r="H23" s="13"/>
      <c r="I23" s="13"/>
      <c r="J23" s="13"/>
      <c r="K23" s="13"/>
      <c r="L23" s="2">
        <v>2.0</v>
      </c>
      <c r="M23" s="20">
        <f t="shared" si="4"/>
        <v>2</v>
      </c>
      <c r="N23" s="30"/>
    </row>
    <row r="24">
      <c r="D24" s="63"/>
      <c r="H24" s="13"/>
      <c r="I24" s="13"/>
      <c r="J24" s="13"/>
      <c r="K24" s="13"/>
      <c r="L24" s="13"/>
      <c r="N24" s="30"/>
    </row>
    <row r="25">
      <c r="D25" s="7" t="s">
        <v>116</v>
      </c>
      <c r="E25" s="70">
        <f t="shared" ref="E25:F25" si="5">sum(E6:E22)</f>
        <v>34</v>
      </c>
      <c r="F25" s="71">
        <f t="shared" si="5"/>
        <v>32</v>
      </c>
      <c r="G25" s="71">
        <f t="shared" ref="G25:L25" si="6">sum(G6:G20)</f>
        <v>0</v>
      </c>
      <c r="H25" s="24">
        <f t="shared" si="6"/>
        <v>8</v>
      </c>
      <c r="I25" s="24">
        <f t="shared" si="6"/>
        <v>6</v>
      </c>
      <c r="J25" s="24">
        <f t="shared" si="6"/>
        <v>5</v>
      </c>
      <c r="K25" s="24">
        <f t="shared" si="6"/>
        <v>6</v>
      </c>
      <c r="L25" s="24">
        <f t="shared" si="6"/>
        <v>5</v>
      </c>
      <c r="M25" s="72">
        <f>sum(M6:M22)</f>
        <v>30</v>
      </c>
      <c r="N25" s="73">
        <f t="shared" ref="N25:N26" si="9">sum(H25:L25)</f>
        <v>30</v>
      </c>
    </row>
    <row r="26">
      <c r="D26" s="74" t="s">
        <v>129</v>
      </c>
      <c r="E26" s="60">
        <f t="shared" ref="E26:F26" si="7">40 - E25</f>
        <v>6</v>
      </c>
      <c r="F26" s="60">
        <f t="shared" si="7"/>
        <v>8</v>
      </c>
      <c r="G26" s="60">
        <f t="shared" ref="G26:L26" si="8">8 - G25</f>
        <v>8</v>
      </c>
      <c r="H26" s="24">
        <f t="shared" si="8"/>
        <v>0</v>
      </c>
      <c r="I26" s="24">
        <f t="shared" si="8"/>
        <v>2</v>
      </c>
      <c r="J26" s="24">
        <f t="shared" si="8"/>
        <v>3</v>
      </c>
      <c r="K26" s="24">
        <f t="shared" si="8"/>
        <v>2</v>
      </c>
      <c r="L26" s="24">
        <f t="shared" si="8"/>
        <v>3</v>
      </c>
      <c r="M26" s="20">
        <f>40 - M25</f>
        <v>10</v>
      </c>
      <c r="N26" s="75">
        <f t="shared" si="9"/>
        <v>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