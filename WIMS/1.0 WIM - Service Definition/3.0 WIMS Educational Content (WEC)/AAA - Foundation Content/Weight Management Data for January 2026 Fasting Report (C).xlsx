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s (stn) Part 2" sheetId="1" r:id="rId5"/>
    <sheet state="visible" name="Goals (lbs) Part 2" sheetId="2" r:id="rId6"/>
    <sheet state="visible" name="June 2025" sheetId="3" r:id="rId7"/>
    <sheet state="visible" name="July-August" sheetId="4" r:id="rId8"/>
    <sheet state="visible" name="September" sheetId="5" r:id="rId9"/>
    <sheet state="visible" name="October" sheetId="6" r:id="rId10"/>
    <sheet state="visible" name="November" sheetId="7" r:id="rId11"/>
    <sheet state="visible" name="December" sheetId="8" r:id="rId12"/>
    <sheet state="visible" name="Actuals" sheetId="9" r:id="rId13"/>
    <sheet state="visible" name="September Graph" sheetId="10" r:id="rId14"/>
    <sheet state="visible" name="October Graph" sheetId="11" r:id="rId15"/>
    <sheet state="visible" name="November Graph" sheetId="12" r:id="rId16"/>
    <sheet state="visible" name="January Graph" sheetId="13" r:id="rId17"/>
    <sheet state="visible" name="Weekly Summary" sheetId="14" r:id="rId18"/>
  </sheets>
  <definedNames/>
  <calcPr/>
</workbook>
</file>

<file path=xl/sharedStrings.xml><?xml version="1.0" encoding="utf-8"?>
<sst xmlns="http://schemas.openxmlformats.org/spreadsheetml/2006/main" count="214" uniqueCount="69">
  <si>
    <t>Stones</t>
  </si>
  <si>
    <t>Week no</t>
  </si>
  <si>
    <t>pounds</t>
  </si>
  <si>
    <t>Forecast</t>
  </si>
  <si>
    <t xml:space="preserve">June </t>
  </si>
  <si>
    <t xml:space="preserve">July </t>
  </si>
  <si>
    <t>August</t>
  </si>
  <si>
    <t xml:space="preserve">September </t>
  </si>
  <si>
    <t xml:space="preserve">October </t>
  </si>
  <si>
    <t xml:space="preserve">November </t>
  </si>
  <si>
    <t xml:space="preserve">December </t>
  </si>
  <si>
    <t>Weight Loss</t>
  </si>
  <si>
    <t>Number Months</t>
  </si>
  <si>
    <t>Weight Loss Per Month</t>
  </si>
  <si>
    <t xml:space="preserve">Per Week </t>
  </si>
  <si>
    <t>M</t>
  </si>
  <si>
    <t>Weight Loss Per Week</t>
  </si>
  <si>
    <t>Goal Per Week</t>
  </si>
  <si>
    <t>Weight loss Per Week (lbs)</t>
  </si>
  <si>
    <t>T</t>
  </si>
  <si>
    <t>W</t>
  </si>
  <si>
    <t>F</t>
  </si>
  <si>
    <t>S</t>
  </si>
  <si>
    <t>Weekly Min</t>
  </si>
  <si>
    <t>Weekly Max</t>
  </si>
  <si>
    <t>Weekly Var (st)</t>
  </si>
  <si>
    <t>Weekly change (St)</t>
  </si>
  <si>
    <t>Weekly change (lbs)</t>
  </si>
  <si>
    <t xml:space="preserve">Weekly Target </t>
  </si>
  <si>
    <t>Net Achievement (stn)</t>
  </si>
  <si>
    <t>lbs</t>
  </si>
  <si>
    <t>Average (stn)</t>
  </si>
  <si>
    <t>Fasting</t>
  </si>
  <si>
    <t xml:space="preserve">Totals </t>
  </si>
  <si>
    <t>Month</t>
  </si>
  <si>
    <t>Week #</t>
  </si>
  <si>
    <t xml:space="preserve">Start Date </t>
  </si>
  <si>
    <t>lb</t>
  </si>
  <si>
    <t>Monday</t>
  </si>
  <si>
    <t xml:space="preserve">Tuesday </t>
  </si>
  <si>
    <t>Wednesday</t>
  </si>
  <si>
    <t xml:space="preserve">Thursday </t>
  </si>
  <si>
    <t>Friday</t>
  </si>
  <si>
    <t xml:space="preserve">Saturday </t>
  </si>
  <si>
    <t>Sunday</t>
  </si>
  <si>
    <t>Min</t>
  </si>
  <si>
    <t>Max</t>
  </si>
  <si>
    <t xml:space="preserve"> </t>
  </si>
  <si>
    <t>June</t>
  </si>
  <si>
    <t>July</t>
  </si>
  <si>
    <t>September</t>
  </si>
  <si>
    <t>Weekly Data</t>
  </si>
  <si>
    <t>Week 
Commencing</t>
  </si>
  <si>
    <t>Weekly Average (st.)</t>
  </si>
  <si>
    <t>4</t>
  </si>
  <si>
    <t>Fasting 
Days</t>
  </si>
  <si>
    <t>Weekly 
Average (st)</t>
  </si>
  <si>
    <t>3</t>
  </si>
  <si>
    <t>1</t>
  </si>
  <si>
    <t>2</t>
  </si>
  <si>
    <t>September 2025 - Average Weekly Weighting (st.)</t>
  </si>
  <si>
    <t>November</t>
  </si>
  <si>
    <t>Average (st.)</t>
  </si>
  <si>
    <t>Week</t>
  </si>
  <si>
    <t>26/0/2026</t>
  </si>
  <si>
    <t>Avg 
Weight (st)</t>
  </si>
  <si>
    <t>Weekly 
Change (st)</t>
  </si>
  <si>
    <t>Weekly 
Change (lbs)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</si>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</sst>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"/>
    <numFmt numFmtId="166" formatCode="d/m/yyyy"/>
    <numFmt numFmtId="167" formatCode="dd/mm"/>
    <numFmt numFmtId="168" formatCode="d/m"/>
    <numFmt numFmtId="169" formatCode="[$€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155CC"/>
      <name val="&quot;Google Sans Mono&quot;"/>
    </font>
    <font>
      <color rgb="FF073763"/>
      <name val="Arial"/>
      <scheme val="minor"/>
    </font>
    <font>
      <color rgb="FF1C4587"/>
      <name val="Arial"/>
      <scheme val="minor"/>
    </font>
    <font>
      <sz val="12.0"/>
      <color rgb="FF073763"/>
      <name val="'Times New Roman'"/>
    </font>
    <font>
      <b/>
      <sz val="12.0"/>
      <color rgb="FF073763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3" numFmtId="4" xfId="0" applyFill="1" applyFont="1" applyNumberFormat="1"/>
    <xf borderId="0" fillId="0" fontId="1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165" xfId="0" applyAlignment="1" applyFont="1" applyNumberFormat="1">
      <alignment readingOrder="0" shrinkToFit="0" wrapText="1"/>
    </xf>
    <xf borderId="0" fillId="0" fontId="6" numFmtId="49" xfId="0" applyAlignment="1" applyFont="1" applyNumberFormat="1">
      <alignment readingOrder="0" shrinkToFit="0" wrapText="1"/>
    </xf>
    <xf borderId="0" fillId="0" fontId="6" numFmtId="4" xfId="0" applyAlignment="1" applyFont="1" applyNumberForma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6" numFmtId="166" xfId="0" applyAlignment="1" applyFont="1" applyNumberForma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6" numFmtId="167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0" xfId="0" applyAlignment="1" applyFont="1">
      <alignment shrinkToFit="0" wrapText="1"/>
    </xf>
    <xf borderId="0" fillId="0" fontId="1" numFmtId="169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73763"/>
                </a:solidFill>
                <a:latin typeface="sans-serif"/>
              </a:defRPr>
            </a:pPr>
            <a:r>
              <a:rPr b="0" sz="1600">
                <a:solidFill>
                  <a:srgbClr val="073763"/>
                </a:solidFill>
                <a:latin typeface="sans-serif"/>
              </a:rPr>
              <a:t>September 2025 - Average Weekly Weight (st.)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'September Graph'!$E$3</c:f>
            </c:strRef>
          </c:tx>
          <c:spPr>
            <a:solidFill>
              <a:srgbClr val="07376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'September Graph'!$D$4:$D$8</c:f>
            </c:strRef>
          </c:cat>
          <c:val>
            <c:numRef>
              <c:f>'September Graph'!$E$4:$E$8</c:f>
              <c:numCache/>
            </c:numRef>
          </c:val>
        </c:ser>
        <c:axId val="982206762"/>
        <c:axId val="324644275"/>
      </c:barChart>
      <c:catAx>
        <c:axId val="982206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324644275"/>
      </c:catAx>
      <c:valAx>
        <c:axId val="324644275"/>
        <c:scaling>
          <c:orientation val="minMax"/>
          <c:max val="17.0"/>
        </c:scaling>
        <c:delete val="0"/>
        <c:axPos val="l"/>
        <c:majorGridlines>
          <c:spPr>
            <a:ln>
              <a:solidFill>
                <a:srgbClr val="07376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73763"/>
                    </a:solidFill>
                    <a:latin typeface="sans-serif"/>
                  </a:defRPr>
                </a:pPr>
                <a:r>
                  <a:rPr b="0" sz="1200">
                    <a:solidFill>
                      <a:srgbClr val="073763"/>
                    </a:solidFill>
                    <a:latin typeface="sans-serif"/>
                  </a:rPr>
                  <a:t>Weekly Average (st.)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200">
                <a:solidFill>
                  <a:srgbClr val="073763"/>
                </a:solidFill>
                <a:latin typeface="sans-serif"/>
              </a:defRPr>
            </a:pPr>
          </a:p>
        </c:txPr>
        <c:crossAx val="982206762"/>
        <c:minorUnit val="0.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73763"/>
                </a:solidFill>
                <a:latin typeface="sans-serif"/>
              </a:defRPr>
            </a:pPr>
            <a:r>
              <a:rPr b="0" sz="1600">
                <a:solidFill>
                  <a:srgbClr val="073763"/>
                </a:solidFill>
                <a:latin typeface="sans-serif"/>
              </a:rPr>
              <a:t>October 2025 - Average Weekly Weight (st.)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'October Graph'!$D$3</c:f>
            </c:strRef>
          </c:tx>
          <c:spPr>
            <a:solidFill>
              <a:srgbClr val="073763"/>
            </a:solidFill>
            <a:ln cmpd="sng" w="9525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solidFill>
                      <a:srgbClr val="FFFFFF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'October Graph'!$C$4:$C$8</c:f>
            </c:strRef>
          </c:cat>
          <c:val>
            <c:numRef>
              <c:f>'October Graph'!$D$4:$D$8</c:f>
              <c:numCache/>
            </c:numRef>
          </c:val>
        </c:ser>
        <c:axId val="1006072182"/>
        <c:axId val="1572640805"/>
      </c:barChart>
      <c:catAx>
        <c:axId val="1006072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200">
                <a:solidFill>
                  <a:srgbClr val="073763"/>
                </a:solidFill>
                <a:latin typeface="sans-serif"/>
              </a:defRPr>
            </a:pPr>
          </a:p>
        </c:txPr>
        <c:crossAx val="1572640805"/>
      </c:catAx>
      <c:valAx>
        <c:axId val="1572640805"/>
        <c:scaling>
          <c:orientation val="minMax"/>
          <c:max val="1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73763"/>
                    </a:solidFill>
                    <a:latin typeface="sans-serif"/>
                  </a:defRPr>
                </a:pPr>
                <a:r>
                  <a:rPr b="0" sz="1200">
                    <a:solidFill>
                      <a:srgbClr val="073763"/>
                    </a:solidFill>
                    <a:latin typeface="sans-serif"/>
                  </a:rPr>
                  <a:t>Weekly Average (st.)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200">
                <a:solidFill>
                  <a:srgbClr val="073763"/>
                </a:solidFill>
                <a:latin typeface="sans-serif"/>
              </a:defRPr>
            </a:pPr>
          </a:p>
        </c:txPr>
        <c:crossAx val="1006072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73763"/>
                </a:solidFill>
                <a:latin typeface="sans-serif"/>
              </a:defRPr>
            </a:pPr>
            <a:r>
              <a:rPr b="0">
                <a:solidFill>
                  <a:srgbClr val="073763"/>
                </a:solidFill>
                <a:latin typeface="sans-serif"/>
              </a:rPr>
              <a:t>November 2025 - Average Weekly Weight (st.)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'November Graph'!$F$4</c:f>
            </c:strRef>
          </c:tx>
          <c:spPr>
            <a:solidFill>
              <a:srgbClr val="073763"/>
            </a:solidFill>
            <a:ln cmpd="sng">
              <a:noFill/>
            </a:ln>
          </c:spPr>
          <c:dPt>
            <c:idx val="0"/>
            <c:spPr>
              <a:solidFill>
                <a:srgbClr val="073763"/>
              </a:solidFill>
              <a:ln cmpd="sng" w="9525">
                <a:noFill/>
              </a:ln>
            </c:spPr>
          </c:dPt>
          <c:cat>
            <c:strRef>
              <c:f>'November Graph'!$E$5:$E$9</c:f>
            </c:strRef>
          </c:cat>
          <c:val>
            <c:numRef>
              <c:f>'November Graph'!$F$5:$F$9</c:f>
              <c:numCache/>
            </c:numRef>
          </c:val>
        </c:ser>
        <c:axId val="1907926441"/>
        <c:axId val="279120403"/>
      </c:barChart>
      <c:catAx>
        <c:axId val="1907926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120403"/>
      </c:catAx>
      <c:valAx>
        <c:axId val="279120403"/>
        <c:scaling>
          <c:orientation val="minMax"/>
          <c:max val="1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73763"/>
                    </a:solidFill>
                    <a:latin typeface="sans-serif"/>
                  </a:defRPr>
                </a:pPr>
                <a:r>
                  <a:rPr b="0" sz="1200">
                    <a:solidFill>
                      <a:srgbClr val="073763"/>
                    </a:solidFill>
                    <a:latin typeface="sans-serif"/>
                  </a:rPr>
                  <a:t>Average Weight (st.)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926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73763"/>
                </a:solidFill>
                <a:latin typeface="sans-serif"/>
              </a:defRPr>
            </a:pPr>
            <a:r>
              <a:rPr b="0">
                <a:solidFill>
                  <a:srgbClr val="073763"/>
                </a:solidFill>
                <a:latin typeface="sans-serif"/>
              </a:rPr>
              <a:t>January 2026 - Average Weekly Weight (st.)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'January Graph'!$E$4</c:f>
            </c:strRef>
          </c:tx>
          <c:spPr>
            <a:solidFill>
              <a:srgbClr val="073763"/>
            </a:solidFill>
            <a:ln cmpd="sng">
              <a:noFill/>
            </a:ln>
          </c:spPr>
          <c:cat>
            <c:strRef>
              <c:f>'January Graph'!$D$5:$D$8</c:f>
            </c:strRef>
          </c:cat>
          <c:val>
            <c:numRef>
              <c:f>'January Graph'!$E$5:$E$8</c:f>
              <c:numCache/>
            </c:numRef>
          </c:val>
        </c:ser>
        <c:axId val="1516031526"/>
        <c:axId val="1424117750"/>
      </c:barChart>
      <c:catAx>
        <c:axId val="1516031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424117750"/>
      </c:catAx>
      <c:valAx>
        <c:axId val="1424117750"/>
        <c:scaling>
          <c:orientation val="minMax"/>
          <c:max val="1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(st.)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3763"/>
                </a:solidFill>
                <a:latin typeface="sans-serif"/>
              </a:defRPr>
            </a:pPr>
          </a:p>
        </c:txPr>
        <c:crossAx val="1516031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73763"/>
                </a:solidFill>
                <a:latin typeface="sans-serif"/>
              </a:defRPr>
            </a:pPr>
            <a:r>
              <a:rPr b="0" sz="1800">
                <a:solidFill>
                  <a:srgbClr val="073763"/>
                </a:solidFill>
                <a:latin typeface="sans-serif"/>
              </a:rPr>
              <a:t>Average  Weight Loss: September 2025 to January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'Weekly Summary'!$D$2</c:f>
            </c:strRef>
          </c:tx>
          <c:spPr>
            <a:solidFill>
              <a:srgbClr val="073763"/>
            </a:solidFill>
            <a:ln cmpd="sng" w="9525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73763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'Weekly Summary'!$C$3:$C$19</c:f>
            </c:strRef>
          </c:cat>
          <c:val>
            <c:numRef>
              <c:f>'Weekly Summary'!$D$3:$D$19</c:f>
              <c:numCache/>
            </c:numRef>
          </c:val>
        </c:ser>
        <c:axId val="442979341"/>
        <c:axId val="1928954917"/>
      </c:barChart>
      <c:catAx>
        <c:axId val="442979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200">
                <a:solidFill>
                  <a:srgbClr val="073763"/>
                </a:solidFill>
                <a:latin typeface="sans-serif"/>
              </a:defRPr>
            </a:pPr>
          </a:p>
        </c:txPr>
        <c:crossAx val="1928954917"/>
      </c:catAx>
      <c:valAx>
        <c:axId val="1928954917"/>
        <c:scaling>
          <c:orientation val="minMax"/>
          <c:max val="17.0"/>
        </c:scaling>
        <c:delete val="0"/>
        <c:axPos val="l"/>
        <c:majorGridlines>
          <c:spPr>
            <a:ln>
              <a:solidFill>
                <a:srgbClr val="07376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73763"/>
                </a:solidFill>
                <a:latin typeface="sans-serif"/>
              </a:defRPr>
            </a:pPr>
          </a:p>
        </c:txPr>
        <c:crossAx val="442979341"/>
        <c:majorUnit val="0.5"/>
      </c:valAx>
    </c:plotArea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5</xdr:row>
      <xdr:rowOff>171450</xdr:rowOff>
    </xdr:from>
    <xdr:ext cx="55245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4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9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1028700</xdr:colOff>
      <xdr:row>8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828675</xdr:colOff>
      <xdr:row>2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>
        <f>year(A5)</f>
        <v>2025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3" t="s">
        <v>13</v>
      </c>
      <c r="M2" s="3" t="s">
        <v>16</v>
      </c>
      <c r="N2" s="5" t="s">
        <v>18</v>
      </c>
    </row>
    <row r="3">
      <c r="B3" s="6">
        <f>'Goals (lbs) Part 2'!B3/14</f>
        <v>17</v>
      </c>
      <c r="C3" s="6">
        <f>'Goals (lbs) Part 2'!C3/14</f>
        <v>17</v>
      </c>
      <c r="D3" s="6">
        <f>'Goals (lbs) Part 2'!D3/14</f>
        <v>17</v>
      </c>
      <c r="E3" s="6">
        <f>'Goals (lbs) Part 2'!E3/14</f>
        <v>17</v>
      </c>
      <c r="F3" s="6">
        <f>'Goals (lbs) Part 2'!F3/14</f>
        <v>16.5</v>
      </c>
      <c r="G3" s="6">
        <f>'Goals (lbs) Part 2'!G3/14</f>
        <v>15</v>
      </c>
      <c r="H3" s="6">
        <f>'Goals (lbs) Part 2'!H3/14</f>
        <v>14.5</v>
      </c>
      <c r="I3" s="6">
        <f>'Goals (lbs) Part 2'!I3/14</f>
        <v>14</v>
      </c>
      <c r="J3" s="7">
        <f>B3-H3</f>
        <v>2.5</v>
      </c>
      <c r="K3" s="1">
        <v>4.0</v>
      </c>
      <c r="L3" s="7">
        <f>J3/K3</f>
        <v>0.625</v>
      </c>
      <c r="M3" s="7">
        <f>L3/4</f>
        <v>0.15625</v>
      </c>
      <c r="N3" s="9">
        <f>M3*14</f>
        <v>2.1875</v>
      </c>
    </row>
    <row r="5">
      <c r="A5" s="10">
        <v>45810.0</v>
      </c>
      <c r="B5" s="9">
        <f t="shared" ref="B5:B8" si="1">ISOWEEKNUM(A5) -10</f>
        <v>13</v>
      </c>
      <c r="C5" s="7">
        <f>'Goals (lbs) Part 2'!C5/14</f>
        <v>16.875</v>
      </c>
      <c r="D5" s="7"/>
      <c r="E5" s="7"/>
      <c r="F5" s="7"/>
      <c r="G5" s="7"/>
      <c r="H5" s="7"/>
      <c r="I5" s="7"/>
    </row>
    <row r="6">
      <c r="A6" s="11">
        <f t="shared" ref="A6:A8" si="2">A5+7</f>
        <v>45817</v>
      </c>
      <c r="B6" s="9">
        <f t="shared" si="1"/>
        <v>14</v>
      </c>
      <c r="C6" s="7">
        <f>'Goals (lbs) Part 2'!C6/14</f>
        <v>16.75</v>
      </c>
      <c r="D6" s="7"/>
      <c r="E6" s="7"/>
      <c r="F6" s="7"/>
      <c r="G6" s="7"/>
      <c r="H6" s="7"/>
      <c r="I6" s="7"/>
    </row>
    <row r="7">
      <c r="A7" s="11">
        <f t="shared" si="2"/>
        <v>45824</v>
      </c>
      <c r="B7" s="9">
        <f t="shared" si="1"/>
        <v>15</v>
      </c>
      <c r="C7" s="7">
        <f>'Goals (lbs) Part 2'!C7/14</f>
        <v>16.625</v>
      </c>
      <c r="D7" s="7"/>
      <c r="E7" s="7"/>
      <c r="F7" s="7"/>
      <c r="G7" s="7"/>
      <c r="H7" s="7"/>
      <c r="I7" s="7"/>
    </row>
    <row r="8">
      <c r="A8" s="11">
        <f t="shared" si="2"/>
        <v>45831</v>
      </c>
      <c r="B8" s="9">
        <f t="shared" si="1"/>
        <v>16</v>
      </c>
      <c r="C8" s="7">
        <f>'Goals (lbs) Part 2'!C8/14</f>
        <v>16.5</v>
      </c>
      <c r="D8" s="7"/>
      <c r="E8" s="7"/>
      <c r="F8" s="7"/>
      <c r="G8" s="7"/>
      <c r="H8" s="7"/>
      <c r="I8" s="7"/>
    </row>
    <row r="9">
      <c r="C9" s="7"/>
      <c r="D9" s="7"/>
      <c r="E9" s="7"/>
      <c r="F9" s="7"/>
      <c r="G9" s="7"/>
      <c r="H9" s="7"/>
      <c r="I9" s="7"/>
    </row>
    <row r="10">
      <c r="A10" s="11">
        <f>A8+7</f>
        <v>45838</v>
      </c>
      <c r="B10" s="9">
        <f t="shared" ref="B10:B14" si="3">ISOWEEKNUM(A10) -10</f>
        <v>17</v>
      </c>
      <c r="C10" s="7"/>
      <c r="D10" s="7">
        <f>'Goals (lbs) Part 2'!D10/14</f>
        <v>16.375</v>
      </c>
      <c r="E10" s="7"/>
      <c r="F10" s="7"/>
      <c r="G10" s="7"/>
      <c r="H10" s="7"/>
      <c r="I10" s="7"/>
    </row>
    <row r="11">
      <c r="A11" s="11">
        <f t="shared" ref="A11:A14" si="4">A10+7</f>
        <v>45845</v>
      </c>
      <c r="B11" s="9">
        <f t="shared" si="3"/>
        <v>18</v>
      </c>
      <c r="C11" s="7"/>
      <c r="D11" s="7">
        <f>'Goals (lbs) Part 2'!D11/14</f>
        <v>16.25</v>
      </c>
      <c r="E11" s="7"/>
      <c r="F11" s="7"/>
      <c r="G11" s="7"/>
      <c r="H11" s="7"/>
      <c r="I11" s="7"/>
    </row>
    <row r="12">
      <c r="A12" s="11">
        <f t="shared" si="4"/>
        <v>45852</v>
      </c>
      <c r="B12" s="9">
        <f t="shared" si="3"/>
        <v>19</v>
      </c>
      <c r="C12" s="7"/>
      <c r="D12" s="7">
        <f>'Goals (lbs) Part 2'!D12/14</f>
        <v>16.125</v>
      </c>
      <c r="E12" s="7"/>
      <c r="F12" s="7"/>
      <c r="G12" s="7"/>
      <c r="H12" s="7"/>
      <c r="I12" s="7"/>
    </row>
    <row r="13">
      <c r="A13" s="11">
        <f t="shared" si="4"/>
        <v>45859</v>
      </c>
      <c r="B13" s="9">
        <f t="shared" si="3"/>
        <v>20</v>
      </c>
      <c r="C13" s="7"/>
      <c r="D13" s="7">
        <f>'Goals (lbs) Part 2'!D13/14</f>
        <v>16</v>
      </c>
      <c r="E13" s="7"/>
      <c r="F13" s="7"/>
      <c r="G13" s="7"/>
      <c r="H13" s="7"/>
      <c r="I13" s="7"/>
    </row>
    <row r="14">
      <c r="A14" s="11">
        <f t="shared" si="4"/>
        <v>45866</v>
      </c>
      <c r="B14" s="9">
        <f t="shared" si="3"/>
        <v>21</v>
      </c>
      <c r="C14" s="7"/>
      <c r="D14" s="7">
        <f>'Goals (lbs) Part 2'!D14/14</f>
        <v>15.875</v>
      </c>
      <c r="F14" s="7"/>
      <c r="G14" s="7"/>
      <c r="H14" s="7"/>
      <c r="I14" s="7"/>
    </row>
    <row r="15">
      <c r="C15" s="7"/>
      <c r="D15" s="7"/>
      <c r="E15" s="7"/>
      <c r="F15" s="7"/>
      <c r="G15" s="7"/>
      <c r="H15" s="7"/>
      <c r="I15" s="7"/>
    </row>
    <row r="16">
      <c r="A16" s="11">
        <f>A14+7</f>
        <v>45873</v>
      </c>
      <c r="B16" s="9">
        <f t="shared" ref="B16:B19" si="5">ISOWEEKNUM(A16) -10</f>
        <v>22</v>
      </c>
      <c r="C16" s="7"/>
      <c r="D16" s="7"/>
      <c r="E16" s="7">
        <f>'Goals (lbs) Part 2'!E16/14</f>
        <v>15.75</v>
      </c>
      <c r="F16" s="7"/>
      <c r="G16" s="7"/>
      <c r="H16" s="7"/>
      <c r="I16" s="7"/>
    </row>
    <row r="17">
      <c r="A17" s="11">
        <f t="shared" ref="A17:A19" si="6">A16+7</f>
        <v>45880</v>
      </c>
      <c r="B17" s="9">
        <f t="shared" si="5"/>
        <v>23</v>
      </c>
      <c r="C17" s="7"/>
      <c r="D17" s="7"/>
      <c r="E17" s="7">
        <f>'Goals (lbs) Part 2'!E17/14</f>
        <v>15.625</v>
      </c>
      <c r="F17" s="7"/>
      <c r="G17" s="7"/>
      <c r="H17" s="7"/>
      <c r="I17" s="7"/>
    </row>
    <row r="18">
      <c r="A18" s="11">
        <f t="shared" si="6"/>
        <v>45887</v>
      </c>
      <c r="B18" s="9">
        <f t="shared" si="5"/>
        <v>24</v>
      </c>
      <c r="C18" s="7"/>
      <c r="D18" s="7"/>
      <c r="E18" s="7">
        <f>'Goals (lbs) Part 2'!E18/14</f>
        <v>15.5</v>
      </c>
      <c r="F18" s="7"/>
      <c r="G18" s="7"/>
      <c r="H18" s="7"/>
      <c r="I18" s="7"/>
    </row>
    <row r="19">
      <c r="A19" s="11">
        <f t="shared" si="6"/>
        <v>45894</v>
      </c>
      <c r="B19" s="9">
        <f t="shared" si="5"/>
        <v>25</v>
      </c>
      <c r="C19" s="7"/>
      <c r="D19" s="7"/>
      <c r="E19" s="7">
        <f>'Goals (lbs) Part 2'!E19/14</f>
        <v>17</v>
      </c>
      <c r="G19" s="7"/>
      <c r="H19" s="7"/>
      <c r="I19" s="7"/>
    </row>
    <row r="20">
      <c r="C20" s="7"/>
      <c r="D20" s="7"/>
      <c r="E20" s="7"/>
      <c r="F20" s="7"/>
      <c r="G20" s="7"/>
      <c r="H20" s="7"/>
      <c r="I20" s="7"/>
    </row>
    <row r="21">
      <c r="A21" s="11">
        <f>A19+7</f>
        <v>45901</v>
      </c>
      <c r="B21" s="9">
        <f t="shared" ref="B21:B25" si="7">ISOWEEKNUM(A21) -10</f>
        <v>26</v>
      </c>
      <c r="C21" s="7"/>
      <c r="D21" s="7"/>
      <c r="E21" s="7"/>
      <c r="F21" s="7">
        <f>'Goals (lbs) Part 2'!F21/14</f>
        <v>16.875</v>
      </c>
      <c r="G21" s="7"/>
      <c r="H21" s="7"/>
      <c r="I21" s="7"/>
    </row>
    <row r="22">
      <c r="A22" s="11">
        <f t="shared" ref="A22:A25" si="8">A21+7</f>
        <v>45908</v>
      </c>
      <c r="B22" s="9">
        <f t="shared" si="7"/>
        <v>27</v>
      </c>
      <c r="C22" s="7"/>
      <c r="D22" s="7"/>
      <c r="E22" s="7"/>
      <c r="F22" s="7">
        <f>'Goals (lbs) Part 2'!F22/14</f>
        <v>16.75</v>
      </c>
      <c r="G22" s="7"/>
      <c r="H22" s="7"/>
      <c r="I22" s="7"/>
    </row>
    <row r="23">
      <c r="A23" s="11">
        <f t="shared" si="8"/>
        <v>45915</v>
      </c>
      <c r="B23" s="9">
        <f t="shared" si="7"/>
        <v>28</v>
      </c>
      <c r="C23" s="7"/>
      <c r="D23" s="7"/>
      <c r="E23" s="7"/>
      <c r="F23" s="7">
        <f>'Goals (lbs) Part 2'!F23/14</f>
        <v>16.625</v>
      </c>
      <c r="G23" s="7"/>
      <c r="H23" s="7"/>
      <c r="I23" s="7"/>
    </row>
    <row r="24">
      <c r="A24" s="11">
        <f t="shared" si="8"/>
        <v>45922</v>
      </c>
      <c r="B24" s="9">
        <f t="shared" si="7"/>
        <v>29</v>
      </c>
      <c r="C24" s="7"/>
      <c r="D24" s="7"/>
      <c r="E24" s="7"/>
      <c r="F24" s="7">
        <f>'Goals (lbs) Part 2'!F24/14</f>
        <v>16.5</v>
      </c>
      <c r="G24" s="7"/>
      <c r="H24" s="7"/>
      <c r="I24" s="7"/>
    </row>
    <row r="25">
      <c r="A25" s="11">
        <f t="shared" si="8"/>
        <v>45929</v>
      </c>
      <c r="B25" s="9">
        <f t="shared" si="7"/>
        <v>30</v>
      </c>
      <c r="C25" s="7"/>
      <c r="D25" s="7"/>
      <c r="E25" s="7"/>
      <c r="F25" s="7">
        <f>'Goals (lbs) Part 2'!F25/14</f>
        <v>16.375</v>
      </c>
      <c r="H25" s="7"/>
      <c r="I25" s="7"/>
    </row>
    <row r="26">
      <c r="C26" s="7"/>
      <c r="D26" s="7"/>
      <c r="E26" s="7"/>
      <c r="F26" s="7"/>
      <c r="G26" s="7"/>
      <c r="H26" s="7"/>
      <c r="I26" s="7"/>
    </row>
    <row r="27">
      <c r="A27" s="11">
        <f>A25+7</f>
        <v>45936</v>
      </c>
      <c r="B27" s="9">
        <f t="shared" ref="B27:B30" si="9">ISOWEEKNUM(A27) -10</f>
        <v>31</v>
      </c>
      <c r="C27" s="7"/>
      <c r="D27" s="7"/>
      <c r="E27" s="7"/>
      <c r="F27" s="7"/>
      <c r="G27" s="7">
        <f>'Goals (lbs) Part 2'!G27/14</f>
        <v>15.85714286</v>
      </c>
      <c r="H27" s="7"/>
      <c r="I27" s="7"/>
    </row>
    <row r="28">
      <c r="A28" s="11">
        <f t="shared" ref="A28:A30" si="10">A27+7</f>
        <v>45943</v>
      </c>
      <c r="B28" s="9">
        <f t="shared" si="9"/>
        <v>32</v>
      </c>
      <c r="C28" s="7"/>
      <c r="D28" s="7"/>
      <c r="E28" s="7"/>
      <c r="F28" s="7"/>
      <c r="G28" s="7">
        <f>'Goals (lbs) Part 2'!G28/14</f>
        <v>15.73214286</v>
      </c>
      <c r="H28" s="7"/>
      <c r="I28" s="7"/>
    </row>
    <row r="29">
      <c r="A29" s="11">
        <f t="shared" si="10"/>
        <v>45950</v>
      </c>
      <c r="B29" s="9">
        <f t="shared" si="9"/>
        <v>33</v>
      </c>
      <c r="C29" s="7"/>
      <c r="D29" s="7"/>
      <c r="E29" s="7"/>
      <c r="F29" s="7"/>
      <c r="G29" s="7">
        <f>'Goals (lbs) Part 2'!G29/14</f>
        <v>15.60714286</v>
      </c>
      <c r="H29" s="7"/>
      <c r="I29" s="7"/>
    </row>
    <row r="30">
      <c r="A30" s="11">
        <f t="shared" si="10"/>
        <v>45957</v>
      </c>
      <c r="B30" s="9">
        <f t="shared" si="9"/>
        <v>34</v>
      </c>
      <c r="C30" s="7"/>
      <c r="D30" s="7"/>
      <c r="E30" s="7"/>
      <c r="F30" s="7"/>
      <c r="G30" s="7">
        <f>'Goals (lbs) Part 2'!G30/14</f>
        <v>15</v>
      </c>
      <c r="H30" s="7"/>
      <c r="I30" s="7"/>
    </row>
    <row r="31">
      <c r="C31" s="7"/>
      <c r="D31" s="7"/>
      <c r="E31" s="7"/>
      <c r="F31" s="7"/>
      <c r="G31" s="7"/>
      <c r="H31" s="7"/>
      <c r="I31" s="7"/>
    </row>
    <row r="32">
      <c r="A32" s="11">
        <f>A30+7</f>
        <v>45964</v>
      </c>
      <c r="B32" s="9">
        <f t="shared" ref="B32:B35" si="11">ISOWEEKNUM(A32) -10</f>
        <v>35</v>
      </c>
      <c r="C32" s="7"/>
      <c r="D32" s="7"/>
      <c r="E32" s="7"/>
      <c r="F32" s="7"/>
      <c r="G32" s="7"/>
      <c r="H32" s="7">
        <f>'Goals (lbs) Part 2'!H32/14</f>
        <v>14.875</v>
      </c>
      <c r="I32" s="7"/>
    </row>
    <row r="33">
      <c r="A33" s="11">
        <f t="shared" ref="A33:A35" si="12">A32+7</f>
        <v>45971</v>
      </c>
      <c r="B33" s="9">
        <f t="shared" si="11"/>
        <v>36</v>
      </c>
      <c r="C33" s="7"/>
      <c r="D33" s="7"/>
      <c r="E33" s="7"/>
      <c r="F33" s="7"/>
      <c r="G33" s="7"/>
      <c r="H33" s="7">
        <f>'Goals (lbs) Part 2'!H33/14</f>
        <v>14.75</v>
      </c>
      <c r="I33" s="7"/>
    </row>
    <row r="34">
      <c r="A34" s="11">
        <f t="shared" si="12"/>
        <v>45978</v>
      </c>
      <c r="B34" s="9">
        <f t="shared" si="11"/>
        <v>37</v>
      </c>
      <c r="C34" s="7"/>
      <c r="D34" s="7"/>
      <c r="E34" s="7"/>
      <c r="F34" s="7"/>
      <c r="G34" s="7"/>
      <c r="H34" s="7">
        <f>'Goals (lbs) Part 2'!H34/14</f>
        <v>14.625</v>
      </c>
      <c r="I34" s="7"/>
    </row>
    <row r="35">
      <c r="A35" s="11">
        <f t="shared" si="12"/>
        <v>45985</v>
      </c>
      <c r="B35" s="9">
        <f t="shared" si="11"/>
        <v>38</v>
      </c>
      <c r="C35" s="7"/>
      <c r="D35" s="7"/>
      <c r="E35" s="7"/>
      <c r="F35" s="7"/>
      <c r="G35" s="7"/>
      <c r="H35" s="7">
        <f>'Goals (lbs) Part 2'!H35/14</f>
        <v>14.5</v>
      </c>
      <c r="I35" s="7"/>
    </row>
    <row r="37">
      <c r="A37" s="11">
        <f>A35+7</f>
        <v>45992</v>
      </c>
      <c r="B37" s="9">
        <f t="shared" ref="B37:B40" si="13">ISOWEEKNUM(A37) -10</f>
        <v>39</v>
      </c>
      <c r="I37" s="7">
        <f>'Goals (lbs) Part 2'!I37/14</f>
        <v>15</v>
      </c>
    </row>
    <row r="38">
      <c r="A38" s="11">
        <f t="shared" ref="A38:A41" si="14">A37+7</f>
        <v>45999</v>
      </c>
      <c r="B38" s="9">
        <f t="shared" si="13"/>
        <v>40</v>
      </c>
      <c r="I38" s="7">
        <f>'Goals (lbs) Part 2'!I38/14</f>
        <v>15</v>
      </c>
    </row>
    <row r="39">
      <c r="A39" s="11">
        <f t="shared" si="14"/>
        <v>46006</v>
      </c>
      <c r="B39" s="9">
        <f t="shared" si="13"/>
        <v>41</v>
      </c>
      <c r="I39" s="7">
        <f>'Goals (lbs) Part 2'!I39/14</f>
        <v>15</v>
      </c>
    </row>
    <row r="40">
      <c r="A40" s="11">
        <f t="shared" si="14"/>
        <v>46013</v>
      </c>
      <c r="B40" s="9">
        <f t="shared" si="13"/>
        <v>42</v>
      </c>
      <c r="I40" s="7">
        <f>'Goals (lbs) Part 2'!I40/14</f>
        <v>15</v>
      </c>
    </row>
    <row r="41">
      <c r="A41" s="11">
        <f t="shared" si="14"/>
        <v>46020</v>
      </c>
      <c r="B41" s="9">
        <f>B40+1</f>
        <v>43</v>
      </c>
      <c r="I41" s="7">
        <f>'Goals (lbs) Part 2'!I41/14</f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2" t="s">
        <v>3</v>
      </c>
    </row>
    <row r="2">
      <c r="B2" s="1">
        <v>2022.0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3" t="s">
        <v>13</v>
      </c>
      <c r="M2" s="3" t="s">
        <v>16</v>
      </c>
      <c r="N2" s="1" t="s">
        <v>17</v>
      </c>
    </row>
    <row r="3">
      <c r="B3" s="1">
        <f t="shared" ref="B3:E3" si="1">17*14</f>
        <v>238</v>
      </c>
      <c r="C3" s="1">
        <f t="shared" si="1"/>
        <v>238</v>
      </c>
      <c r="D3" s="1">
        <f t="shared" si="1"/>
        <v>238</v>
      </c>
      <c r="E3" s="1">
        <f t="shared" si="1"/>
        <v>238</v>
      </c>
      <c r="F3" s="1">
        <f>E3-7</f>
        <v>231</v>
      </c>
      <c r="G3" s="6">
        <f>G30</f>
        <v>210</v>
      </c>
      <c r="H3" s="6">
        <f t="shared" ref="H3:I3" si="2">G3-7</f>
        <v>203</v>
      </c>
      <c r="I3" s="6">
        <f t="shared" si="2"/>
        <v>196</v>
      </c>
      <c r="J3" s="7">
        <f>F3-I3</f>
        <v>35</v>
      </c>
      <c r="K3" s="1">
        <v>4.0</v>
      </c>
      <c r="L3" s="7">
        <f>J3/K3</f>
        <v>8.75</v>
      </c>
      <c r="M3" s="7">
        <f>L3/4</f>
        <v>2.1875</v>
      </c>
      <c r="N3" s="1">
        <f>7/4</f>
        <v>1.75</v>
      </c>
    </row>
    <row r="5">
      <c r="A5" s="10">
        <v>45810.0</v>
      </c>
      <c r="B5" s="9">
        <f>ISOWEEKNUM(A5) -22</f>
        <v>1</v>
      </c>
      <c r="C5" s="7">
        <f>(B3-$N$3)</f>
        <v>236.25</v>
      </c>
      <c r="D5" s="7"/>
      <c r="E5" s="7"/>
      <c r="F5" s="7"/>
      <c r="G5" s="7"/>
      <c r="H5" s="7"/>
      <c r="I5" s="7"/>
    </row>
    <row r="6">
      <c r="A6" s="11">
        <f t="shared" ref="A6:A8" si="3">A5+7</f>
        <v>45817</v>
      </c>
      <c r="B6" s="9">
        <f>B5+1</f>
        <v>2</v>
      </c>
      <c r="C6" s="7">
        <f t="shared" ref="C6:C8" si="4">C5-$N$3</f>
        <v>234.5</v>
      </c>
      <c r="D6" s="7"/>
      <c r="E6" s="7"/>
      <c r="F6" s="7"/>
      <c r="G6" s="7"/>
      <c r="H6" s="7"/>
      <c r="I6" s="7"/>
    </row>
    <row r="7">
      <c r="A7" s="11">
        <f t="shared" si="3"/>
        <v>45824</v>
      </c>
      <c r="B7" s="9">
        <f>ISOWEEKNUM(A7) -22</f>
        <v>3</v>
      </c>
      <c r="C7" s="7">
        <f t="shared" si="4"/>
        <v>232.75</v>
      </c>
      <c r="D7" s="7"/>
      <c r="E7" s="7"/>
      <c r="F7" s="12"/>
      <c r="G7" s="7"/>
      <c r="H7" s="7"/>
      <c r="I7" s="7"/>
    </row>
    <row r="8">
      <c r="A8" s="11">
        <f t="shared" si="3"/>
        <v>45831</v>
      </c>
      <c r="B8" s="9">
        <f>B7+1</f>
        <v>4</v>
      </c>
      <c r="C8" s="7">
        <f t="shared" si="4"/>
        <v>231</v>
      </c>
      <c r="D8" s="7"/>
      <c r="E8" s="7"/>
      <c r="F8" s="7"/>
      <c r="G8" s="7"/>
      <c r="H8" s="7"/>
      <c r="I8" s="7"/>
    </row>
    <row r="9">
      <c r="C9" s="7"/>
      <c r="D9" s="7"/>
      <c r="E9" s="7"/>
      <c r="F9" s="7"/>
      <c r="G9" s="7"/>
      <c r="H9" s="7"/>
      <c r="I9" s="7"/>
    </row>
    <row r="10">
      <c r="A10" s="11">
        <f>A8+7</f>
        <v>45838</v>
      </c>
      <c r="B10" s="9">
        <f>B8+1</f>
        <v>5</v>
      </c>
      <c r="C10" s="7"/>
      <c r="D10" s="7">
        <f>C8-$N$3</f>
        <v>229.25</v>
      </c>
      <c r="E10" s="7"/>
      <c r="F10" s="7"/>
      <c r="G10" s="7"/>
      <c r="H10" s="7"/>
      <c r="I10" s="7"/>
    </row>
    <row r="11">
      <c r="A11" s="11">
        <f t="shared" ref="A11:A14" si="5">A10+7</f>
        <v>45845</v>
      </c>
      <c r="B11" s="9">
        <f t="shared" ref="B11:B14" si="6">B10+1</f>
        <v>6</v>
      </c>
      <c r="C11" s="7"/>
      <c r="D11" s="7">
        <f t="shared" ref="D11:D14" si="7">D10-$N$3</f>
        <v>227.5</v>
      </c>
      <c r="E11" s="7"/>
      <c r="F11" s="7"/>
      <c r="G11" s="7"/>
      <c r="H11" s="7"/>
      <c r="I11" s="7"/>
    </row>
    <row r="12">
      <c r="A12" s="11">
        <f t="shared" si="5"/>
        <v>45852</v>
      </c>
      <c r="B12" s="9">
        <f t="shared" si="6"/>
        <v>7</v>
      </c>
      <c r="C12" s="7"/>
      <c r="D12" s="7">
        <f t="shared" si="7"/>
        <v>225.75</v>
      </c>
      <c r="E12" s="7"/>
      <c r="F12" s="7"/>
      <c r="G12" s="7"/>
      <c r="H12" s="7"/>
      <c r="I12" s="7"/>
    </row>
    <row r="13">
      <c r="A13" s="11">
        <f t="shared" si="5"/>
        <v>45859</v>
      </c>
      <c r="B13" s="9">
        <f t="shared" si="6"/>
        <v>8</v>
      </c>
      <c r="C13" s="7"/>
      <c r="D13" s="7">
        <f t="shared" si="7"/>
        <v>224</v>
      </c>
      <c r="E13" s="7"/>
      <c r="F13" s="7"/>
      <c r="G13" s="7"/>
      <c r="H13" s="7"/>
      <c r="I13" s="7"/>
    </row>
    <row r="14">
      <c r="A14" s="11">
        <f t="shared" si="5"/>
        <v>45866</v>
      </c>
      <c r="B14" s="9">
        <f t="shared" si="6"/>
        <v>9</v>
      </c>
      <c r="C14" s="7"/>
      <c r="D14" s="7">
        <f t="shared" si="7"/>
        <v>222.25</v>
      </c>
      <c r="F14" s="7"/>
      <c r="G14" s="7"/>
      <c r="H14" s="7"/>
      <c r="I14" s="7"/>
    </row>
    <row r="15">
      <c r="C15" s="7"/>
      <c r="D15" s="7"/>
      <c r="E15" s="7"/>
      <c r="F15" s="7"/>
      <c r="G15" s="7"/>
      <c r="H15" s="7"/>
      <c r="I15" s="7"/>
    </row>
    <row r="16">
      <c r="A16" s="11">
        <f>A14+7</f>
        <v>45873</v>
      </c>
      <c r="B16" s="9">
        <f>B14+1</f>
        <v>10</v>
      </c>
      <c r="C16" s="7"/>
      <c r="D16" s="7"/>
      <c r="E16" s="7">
        <f>D14-$N$3</f>
        <v>220.5</v>
      </c>
      <c r="F16" s="7"/>
      <c r="G16" s="7"/>
      <c r="H16" s="7"/>
      <c r="I16" s="7"/>
    </row>
    <row r="17">
      <c r="A17" s="11">
        <f t="shared" ref="A17:A19" si="8">A16+7</f>
        <v>45880</v>
      </c>
      <c r="B17" s="9">
        <f>B16+1</f>
        <v>11</v>
      </c>
      <c r="C17" s="7"/>
      <c r="D17" s="7"/>
      <c r="E17" s="7">
        <f t="shared" ref="E17:E18" si="9">E16-$N$3</f>
        <v>218.75</v>
      </c>
      <c r="F17" s="7"/>
      <c r="G17" s="7"/>
      <c r="H17" s="7"/>
      <c r="I17" s="7"/>
    </row>
    <row r="18">
      <c r="A18" s="11">
        <f t="shared" si="8"/>
        <v>45887</v>
      </c>
      <c r="B18" s="9">
        <f>B16+1</f>
        <v>11</v>
      </c>
      <c r="C18" s="7"/>
      <c r="D18" s="7"/>
      <c r="E18" s="7">
        <f t="shared" si="9"/>
        <v>217</v>
      </c>
      <c r="F18" s="7"/>
      <c r="G18" s="7"/>
      <c r="H18" s="7"/>
      <c r="I18" s="7"/>
    </row>
    <row r="19">
      <c r="A19" s="11">
        <f t="shared" si="8"/>
        <v>45894</v>
      </c>
      <c r="B19" s="9">
        <f>B18+1</f>
        <v>12</v>
      </c>
      <c r="C19" s="7"/>
      <c r="D19" s="7"/>
      <c r="E19" s="6">
        <v>238.0</v>
      </c>
      <c r="G19" s="7"/>
      <c r="H19" s="7"/>
      <c r="I19" s="7"/>
    </row>
    <row r="20">
      <c r="C20" s="7"/>
      <c r="D20" s="7"/>
      <c r="E20" s="7"/>
      <c r="F20" s="7"/>
      <c r="G20" s="7"/>
      <c r="H20" s="7"/>
      <c r="I20" s="7"/>
    </row>
    <row r="21">
      <c r="A21" s="11">
        <f>A19+7</f>
        <v>45901</v>
      </c>
      <c r="B21" s="9">
        <f>B19+1</f>
        <v>13</v>
      </c>
      <c r="C21" s="7"/>
      <c r="D21" s="7"/>
      <c r="E21" s="7"/>
      <c r="F21" s="7">
        <f>E19-$N$3</f>
        <v>236.25</v>
      </c>
      <c r="G21" s="7"/>
      <c r="H21" s="7"/>
      <c r="I21" s="7"/>
    </row>
    <row r="22">
      <c r="A22" s="11">
        <f t="shared" ref="A22:A25" si="10">A21+7</f>
        <v>45908</v>
      </c>
      <c r="B22" s="9">
        <f>1+B21</f>
        <v>14</v>
      </c>
      <c r="C22" s="7"/>
      <c r="D22" s="7"/>
      <c r="E22" s="7"/>
      <c r="F22" s="7">
        <f t="shared" ref="F22:F25" si="11">F21-$N$3</f>
        <v>234.5</v>
      </c>
      <c r="G22" s="7"/>
      <c r="H22" s="7"/>
      <c r="I22" s="7"/>
    </row>
    <row r="23">
      <c r="A23" s="11">
        <f t="shared" si="10"/>
        <v>45915</v>
      </c>
      <c r="B23" s="9">
        <f>B22+1</f>
        <v>15</v>
      </c>
      <c r="C23" s="7"/>
      <c r="D23" s="7"/>
      <c r="E23" s="7"/>
      <c r="F23" s="7">
        <f t="shared" si="11"/>
        <v>232.75</v>
      </c>
      <c r="G23" s="7"/>
      <c r="H23" s="7"/>
      <c r="I23" s="7"/>
    </row>
    <row r="24">
      <c r="A24" s="11">
        <f t="shared" si="10"/>
        <v>45922</v>
      </c>
      <c r="B24" s="9">
        <f t="shared" ref="B24:B25" si="12">1+B23</f>
        <v>16</v>
      </c>
      <c r="C24" s="7"/>
      <c r="D24" s="7"/>
      <c r="E24" s="7"/>
      <c r="F24" s="7">
        <f t="shared" si="11"/>
        <v>231</v>
      </c>
      <c r="G24" s="7"/>
      <c r="H24" s="7"/>
      <c r="I24" s="7"/>
    </row>
    <row r="25">
      <c r="A25" s="11">
        <f t="shared" si="10"/>
        <v>45929</v>
      </c>
      <c r="B25" s="9">
        <f t="shared" si="12"/>
        <v>17</v>
      </c>
      <c r="C25" s="7"/>
      <c r="D25" s="7"/>
      <c r="E25" s="7"/>
      <c r="F25" s="7">
        <f t="shared" si="11"/>
        <v>229.25</v>
      </c>
      <c r="H25" s="7"/>
      <c r="I25" s="7"/>
    </row>
    <row r="26">
      <c r="C26" s="7"/>
      <c r="D26" s="7"/>
      <c r="E26" s="7"/>
      <c r="F26" s="7"/>
      <c r="G26" s="7"/>
      <c r="H26" s="7"/>
      <c r="I26" s="7"/>
    </row>
    <row r="27">
      <c r="A27" s="11">
        <f>A25+7</f>
        <v>45936</v>
      </c>
      <c r="B27" s="9">
        <f>B25+1</f>
        <v>18</v>
      </c>
      <c r="C27" s="7"/>
      <c r="D27" s="7"/>
      <c r="E27" s="7"/>
      <c r="F27" s="7"/>
      <c r="G27" s="7">
        <f>16*14-2</f>
        <v>222</v>
      </c>
      <c r="H27" s="7"/>
      <c r="I27" s="7"/>
    </row>
    <row r="28">
      <c r="A28" s="11">
        <f t="shared" ref="A28:A30" si="13">A27+7</f>
        <v>45943</v>
      </c>
      <c r="B28" s="9">
        <f t="shared" ref="B28:B30" si="14">B27+1</f>
        <v>19</v>
      </c>
      <c r="C28" s="7"/>
      <c r="D28" s="7"/>
      <c r="E28" s="7"/>
      <c r="F28" s="7"/>
      <c r="G28" s="7">
        <f t="shared" ref="G28:G29" si="15">G27-$N$3</f>
        <v>220.25</v>
      </c>
      <c r="H28" s="7"/>
      <c r="I28" s="7"/>
    </row>
    <row r="29">
      <c r="A29" s="11">
        <f t="shared" si="13"/>
        <v>45950</v>
      </c>
      <c r="B29" s="9">
        <f t="shared" si="14"/>
        <v>20</v>
      </c>
      <c r="C29" s="7"/>
      <c r="D29" s="7"/>
      <c r="E29" s="7"/>
      <c r="F29" s="7"/>
      <c r="G29" s="7">
        <f t="shared" si="15"/>
        <v>218.5</v>
      </c>
      <c r="H29" s="7"/>
      <c r="I29" s="7"/>
    </row>
    <row r="30">
      <c r="A30" s="11">
        <f t="shared" si="13"/>
        <v>45957</v>
      </c>
      <c r="B30" s="9">
        <f t="shared" si="14"/>
        <v>21</v>
      </c>
      <c r="C30" s="7"/>
      <c r="D30" s="7"/>
      <c r="E30" s="7"/>
      <c r="F30" s="7"/>
      <c r="G30" s="7">
        <f>15*14</f>
        <v>210</v>
      </c>
      <c r="H30" s="7"/>
      <c r="I30" s="7"/>
    </row>
    <row r="31">
      <c r="C31" s="7"/>
      <c r="D31" s="7"/>
      <c r="E31" s="7"/>
      <c r="F31" s="7"/>
      <c r="G31" s="7"/>
      <c r="H31" s="7"/>
      <c r="I31" s="7"/>
    </row>
    <row r="32">
      <c r="A32" s="11">
        <f>A30+7</f>
        <v>45964</v>
      </c>
      <c r="B32" s="9">
        <f>B30+1</f>
        <v>22</v>
      </c>
      <c r="C32" s="7"/>
      <c r="D32" s="7"/>
      <c r="E32" s="7"/>
      <c r="F32" s="7"/>
      <c r="G32" s="7"/>
      <c r="H32" s="7">
        <f>G30-N3</f>
        <v>208.25</v>
      </c>
      <c r="I32" s="7"/>
    </row>
    <row r="33">
      <c r="A33" s="11">
        <f t="shared" ref="A33:A35" si="16">A32+7</f>
        <v>45971</v>
      </c>
      <c r="B33" s="9">
        <f t="shared" ref="B33:B35" si="17">B32+1</f>
        <v>23</v>
      </c>
      <c r="C33" s="7"/>
      <c r="D33" s="7"/>
      <c r="E33" s="7"/>
      <c r="F33" s="7"/>
      <c r="G33" s="7"/>
      <c r="H33" s="7">
        <f t="shared" ref="H33:H35" si="18">H32-$N$3</f>
        <v>206.5</v>
      </c>
      <c r="I33" s="7"/>
    </row>
    <row r="34">
      <c r="A34" s="11">
        <f t="shared" si="16"/>
        <v>45978</v>
      </c>
      <c r="B34" s="9">
        <f t="shared" si="17"/>
        <v>24</v>
      </c>
      <c r="C34" s="7"/>
      <c r="D34" s="7"/>
      <c r="E34" s="7"/>
      <c r="F34" s="7"/>
      <c r="G34" s="7"/>
      <c r="H34" s="7">
        <f t="shared" si="18"/>
        <v>204.75</v>
      </c>
      <c r="I34" s="7"/>
    </row>
    <row r="35">
      <c r="A35" s="11">
        <f t="shared" si="16"/>
        <v>45985</v>
      </c>
      <c r="B35" s="9">
        <f t="shared" si="17"/>
        <v>25</v>
      </c>
      <c r="C35" s="7"/>
      <c r="D35" s="7"/>
      <c r="E35" s="7"/>
      <c r="F35" s="7"/>
      <c r="G35" s="7"/>
      <c r="H35" s="7">
        <f t="shared" si="18"/>
        <v>203</v>
      </c>
      <c r="I35" s="7"/>
    </row>
    <row r="37">
      <c r="A37" s="11">
        <f>A35+7</f>
        <v>45992</v>
      </c>
      <c r="B37" s="9">
        <f t="shared" ref="B37:B40" si="19">ISOWEEKNUM(A37) -10</f>
        <v>39</v>
      </c>
      <c r="I37" s="7">
        <f>203+7</f>
        <v>210</v>
      </c>
    </row>
    <row r="38">
      <c r="A38" s="11">
        <f t="shared" ref="A38:A41" si="20">A37+7</f>
        <v>45999</v>
      </c>
      <c r="B38" s="9">
        <f t="shared" si="19"/>
        <v>40</v>
      </c>
      <c r="I38" s="7">
        <f t="shared" ref="I38:I41" si="21">I37</f>
        <v>210</v>
      </c>
    </row>
    <row r="39">
      <c r="A39" s="11">
        <f t="shared" si="20"/>
        <v>46006</v>
      </c>
      <c r="B39" s="9">
        <f t="shared" si="19"/>
        <v>41</v>
      </c>
      <c r="I39" s="7">
        <f t="shared" si="21"/>
        <v>210</v>
      </c>
    </row>
    <row r="40">
      <c r="A40" s="11">
        <f t="shared" si="20"/>
        <v>46013</v>
      </c>
      <c r="B40" s="9">
        <f t="shared" si="19"/>
        <v>42</v>
      </c>
      <c r="I40" s="7">
        <f t="shared" si="21"/>
        <v>210</v>
      </c>
    </row>
    <row r="41">
      <c r="A41" s="11">
        <f t="shared" si="20"/>
        <v>46020</v>
      </c>
      <c r="B41" s="9">
        <f>B40+1</f>
        <v>43</v>
      </c>
      <c r="I41" s="7">
        <f t="shared" si="21"/>
        <v>210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3.38"/>
    <col customWidth="1" min="14" max="14" width="13.25"/>
    <col customWidth="1" min="15" max="15" width="16.63"/>
    <col customWidth="1" min="16" max="16" width="16.25"/>
    <col customWidth="1" min="19" max="19" width="17.5"/>
  </cols>
  <sheetData>
    <row r="1">
      <c r="B1" s="1" t="s">
        <v>1</v>
      </c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>
      <c r="D2" s="1" t="s">
        <v>14</v>
      </c>
      <c r="E2" s="4" t="s">
        <v>15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22</v>
      </c>
      <c r="K2" s="4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23</v>
      </c>
      <c r="S2" s="1" t="s">
        <v>29</v>
      </c>
      <c r="T2" s="1" t="s">
        <v>30</v>
      </c>
      <c r="U2" s="1" t="s">
        <v>31</v>
      </c>
    </row>
    <row r="3">
      <c r="H3" s="7"/>
      <c r="P3" s="1"/>
      <c r="R3" s="6"/>
      <c r="U3" s="7"/>
    </row>
    <row r="4">
      <c r="A4" s="8">
        <f>'Goals (lbs) Part 2'!A5</f>
        <v>45810</v>
      </c>
      <c r="B4" s="1">
        <v>1.0</v>
      </c>
      <c r="D4" s="1">
        <v>17.0</v>
      </c>
      <c r="E4" s="1">
        <f>D4</f>
        <v>17</v>
      </c>
      <c r="F4" s="6">
        <f>16 +8.6/14</f>
        <v>16.61428571</v>
      </c>
      <c r="G4" s="6">
        <f t="shared" ref="G4:H4" si="1">F4</f>
        <v>16.61428571</v>
      </c>
      <c r="H4" s="6">
        <f t="shared" si="1"/>
        <v>16.61428571</v>
      </c>
      <c r="I4" s="6">
        <f>+16+11.4/16</f>
        <v>16.7125</v>
      </c>
      <c r="J4" s="1">
        <v>17.0</v>
      </c>
      <c r="K4" s="1">
        <f> +16+11.2/16</f>
        <v>16.7</v>
      </c>
      <c r="L4" s="7">
        <f>min(E4:K4)</f>
        <v>16.61428571</v>
      </c>
      <c r="M4" s="9">
        <f>MAX(E4:K4)</f>
        <v>17</v>
      </c>
      <c r="N4" s="7">
        <f>M4-L4</f>
        <v>0.3857142857</v>
      </c>
      <c r="O4" s="9">
        <f>K4-E4</f>
        <v>-0.3</v>
      </c>
      <c r="P4" s="9">
        <f>O4*14</f>
        <v>-4.2</v>
      </c>
      <c r="Q4" s="7">
        <f>'Goals (stn) Part 2'!C5</f>
        <v>16.875</v>
      </c>
      <c r="R4" s="7">
        <f>L4</f>
        <v>16.61428571</v>
      </c>
      <c r="S4" s="7">
        <f>Q4-R4</f>
        <v>0.2607142857</v>
      </c>
      <c r="T4" s="9">
        <f>S4*14</f>
        <v>3.65</v>
      </c>
      <c r="U4" s="7">
        <f>AVERAGE(E4:K4)</f>
        <v>16.75076531</v>
      </c>
      <c r="V4" s="7"/>
    </row>
    <row r="5">
      <c r="D5" s="9">
        <f>D4*14</f>
        <v>238</v>
      </c>
      <c r="E5" s="9">
        <f t="shared" ref="E5:K5" si="2">E4-D4</f>
        <v>0</v>
      </c>
      <c r="F5" s="7">
        <f t="shared" si="2"/>
        <v>-0.3857142857</v>
      </c>
      <c r="G5" s="7">
        <f t="shared" si="2"/>
        <v>0</v>
      </c>
      <c r="H5" s="7">
        <f t="shared" si="2"/>
        <v>0</v>
      </c>
      <c r="I5" s="7">
        <f t="shared" si="2"/>
        <v>0.09821428571</v>
      </c>
      <c r="J5" s="7">
        <f t="shared" si="2"/>
        <v>0.2875</v>
      </c>
      <c r="K5" s="9">
        <f t="shared" si="2"/>
        <v>-0.3</v>
      </c>
      <c r="S5" s="7"/>
      <c r="U5" s="7"/>
    </row>
    <row r="6">
      <c r="E6" s="9">
        <f t="shared" ref="E6:K6" si="3">E5*14</f>
        <v>0</v>
      </c>
      <c r="F6" s="9">
        <f t="shared" si="3"/>
        <v>-5.4</v>
      </c>
      <c r="G6" s="9">
        <f t="shared" si="3"/>
        <v>0</v>
      </c>
      <c r="H6" s="9">
        <f t="shared" si="3"/>
        <v>0</v>
      </c>
      <c r="I6" s="9">
        <f t="shared" si="3"/>
        <v>1.375</v>
      </c>
      <c r="J6" s="9">
        <f t="shared" si="3"/>
        <v>4.025</v>
      </c>
      <c r="K6" s="9">
        <f t="shared" si="3"/>
        <v>-4.2</v>
      </c>
      <c r="S6" s="7"/>
      <c r="U6" s="7"/>
    </row>
    <row r="7">
      <c r="E7" s="7"/>
      <c r="F7" s="7"/>
      <c r="G7" s="7"/>
      <c r="H7" s="7"/>
      <c r="I7" s="7"/>
      <c r="K7" s="7"/>
      <c r="S7" s="7"/>
      <c r="U7" s="7"/>
    </row>
    <row r="8">
      <c r="A8" s="8">
        <f>A4+7</f>
        <v>45817</v>
      </c>
      <c r="B8" s="9">
        <f>B4+1</f>
        <v>2</v>
      </c>
      <c r="D8" s="6">
        <f>K4</f>
        <v>16.7</v>
      </c>
      <c r="E8" s="6">
        <v>17.0</v>
      </c>
      <c r="F8" s="6">
        <f>E8</f>
        <v>17</v>
      </c>
      <c r="G8" s="6">
        <f>16+10.4/14</f>
        <v>16.74285714</v>
      </c>
      <c r="H8" s="6">
        <f>16+6/14</f>
        <v>16.42857143</v>
      </c>
      <c r="I8" s="6">
        <f>16+3.2/14</f>
        <v>16.22857143</v>
      </c>
      <c r="J8" s="6">
        <f>16+2.2/14</f>
        <v>16.15714286</v>
      </c>
      <c r="K8" s="6">
        <f>16+5/14</f>
        <v>16.35714286</v>
      </c>
      <c r="L8" s="7">
        <f>min(E8:K8)</f>
        <v>16.15714286</v>
      </c>
      <c r="M8" s="7">
        <f>MAX(E8:K8)</f>
        <v>17</v>
      </c>
      <c r="N8" s="7">
        <f>M8-L8</f>
        <v>0.8428571429</v>
      </c>
      <c r="O8" s="7">
        <f>K8-E8</f>
        <v>-0.6428571429</v>
      </c>
      <c r="P8" s="9">
        <f>O8*14</f>
        <v>-9</v>
      </c>
      <c r="Q8" s="7">
        <f>'Goals (stn) Part 2'!C6</f>
        <v>16.75</v>
      </c>
      <c r="R8" s="7">
        <f>L8</f>
        <v>16.15714286</v>
      </c>
      <c r="S8" s="7">
        <f>Q8-R8</f>
        <v>0.5928571429</v>
      </c>
      <c r="T8" s="9">
        <f>S8*14</f>
        <v>8.3</v>
      </c>
      <c r="U8" s="7">
        <f>AVERAGE(E8:K8)</f>
        <v>16.55918367</v>
      </c>
      <c r="V8" s="7">
        <f>-1*(U4-U8)</f>
        <v>-0.1915816327</v>
      </c>
    </row>
    <row r="9">
      <c r="D9" s="9">
        <f>D8*14</f>
        <v>233.8</v>
      </c>
      <c r="E9" s="7">
        <f>E8-K4</f>
        <v>0.3</v>
      </c>
      <c r="F9" s="7">
        <f t="shared" ref="F9:K9" si="4">F8-E8</f>
        <v>0</v>
      </c>
      <c r="G9" s="7">
        <f t="shared" si="4"/>
        <v>-0.2571428571</v>
      </c>
      <c r="H9" s="7">
        <f t="shared" si="4"/>
        <v>-0.3142857143</v>
      </c>
      <c r="I9" s="7">
        <f t="shared" si="4"/>
        <v>-0.2</v>
      </c>
      <c r="J9" s="7">
        <f t="shared" si="4"/>
        <v>-0.07142857143</v>
      </c>
      <c r="K9" s="7">
        <f t="shared" si="4"/>
        <v>0.2</v>
      </c>
      <c r="S9" s="7"/>
      <c r="U9" s="7"/>
    </row>
    <row r="10">
      <c r="E10" s="7">
        <f>(K5-E9)*-1</f>
        <v>0.6</v>
      </c>
      <c r="F10" s="9">
        <f t="shared" ref="F10:K10" si="5">F9*14</f>
        <v>0</v>
      </c>
      <c r="G10" s="9">
        <f t="shared" si="5"/>
        <v>-3.6</v>
      </c>
      <c r="H10" s="9">
        <f t="shared" si="5"/>
        <v>-4.4</v>
      </c>
      <c r="I10" s="9">
        <f t="shared" si="5"/>
        <v>-2.8</v>
      </c>
      <c r="J10" s="9">
        <f t="shared" si="5"/>
        <v>-1</v>
      </c>
      <c r="K10" s="9">
        <f t="shared" si="5"/>
        <v>2.8</v>
      </c>
      <c r="S10" s="7"/>
      <c r="U10" s="7"/>
    </row>
    <row r="11">
      <c r="E11" s="7"/>
      <c r="F11" s="7"/>
      <c r="G11" s="7"/>
      <c r="H11" s="7"/>
      <c r="I11" s="7"/>
      <c r="K11" s="7"/>
      <c r="S11" s="7"/>
      <c r="U11" s="7"/>
    </row>
    <row r="12">
      <c r="A12" s="8">
        <f>A8+7</f>
        <v>45824</v>
      </c>
      <c r="B12" s="9">
        <f>B8+1</f>
        <v>3</v>
      </c>
      <c r="D12" s="6">
        <f>K8</f>
        <v>16.35714286</v>
      </c>
      <c r="E12" s="6">
        <f>16+8.2/14</f>
        <v>16.58571429</v>
      </c>
      <c r="F12" s="6">
        <f>16+10.2/14</f>
        <v>16.72857143</v>
      </c>
      <c r="G12" s="6">
        <f>16+11.4/14</f>
        <v>16.81428571</v>
      </c>
      <c r="H12" s="6">
        <f>16+8.2/14</f>
        <v>16.58571429</v>
      </c>
      <c r="I12" s="6">
        <f>16+13.2/14</f>
        <v>16.94285714</v>
      </c>
      <c r="J12" s="6">
        <f>16+8.2/14</f>
        <v>16.58571429</v>
      </c>
      <c r="K12" s="6">
        <f>16+10/14</f>
        <v>16.71428571</v>
      </c>
      <c r="L12" s="7">
        <f>min(E12:K12)</f>
        <v>16.58571429</v>
      </c>
      <c r="M12" s="7">
        <f>MAX(E12:K12)</f>
        <v>16.94285714</v>
      </c>
      <c r="N12" s="7">
        <f>M12-L12</f>
        <v>0.3571428571</v>
      </c>
      <c r="O12" s="7">
        <f>K12-E12</f>
        <v>0.1285714286</v>
      </c>
      <c r="P12" s="9">
        <f>O12*14</f>
        <v>1.8</v>
      </c>
      <c r="Q12" s="7">
        <f>'Goals (stn) Part 2'!C7</f>
        <v>16.625</v>
      </c>
      <c r="R12" s="7">
        <f>L12</f>
        <v>16.58571429</v>
      </c>
      <c r="S12" s="7">
        <f>Q12-R12</f>
        <v>0.03928571429</v>
      </c>
      <c r="T12" s="9">
        <f>S12*14</f>
        <v>0.55</v>
      </c>
      <c r="U12" s="7">
        <f>AVERAGE(E12:K12)</f>
        <v>16.70816327</v>
      </c>
      <c r="V12" s="7">
        <f>-1*(U8-U12)</f>
        <v>0.1489795918</v>
      </c>
    </row>
    <row r="13">
      <c r="D13" s="9">
        <f>D12*14</f>
        <v>229</v>
      </c>
      <c r="E13" s="7">
        <f>(K8-E12)</f>
        <v>-0.2285714286</v>
      </c>
      <c r="F13" s="7">
        <f t="shared" ref="F13:K13" si="6">F12-E12</f>
        <v>0.1428571429</v>
      </c>
      <c r="G13" s="7">
        <f t="shared" si="6"/>
        <v>0.08571428571</v>
      </c>
      <c r="H13" s="7">
        <f t="shared" si="6"/>
        <v>-0.2285714286</v>
      </c>
      <c r="I13" s="7">
        <f t="shared" si="6"/>
        <v>0.3571428571</v>
      </c>
      <c r="J13" s="7">
        <f t="shared" si="6"/>
        <v>-0.3571428571</v>
      </c>
      <c r="K13" s="7">
        <f t="shared" si="6"/>
        <v>0.1285714286</v>
      </c>
      <c r="S13" s="7"/>
      <c r="U13" s="7"/>
    </row>
    <row r="14">
      <c r="E14" s="7">
        <f>(K9-E13)*-1</f>
        <v>-0.4285714286</v>
      </c>
      <c r="F14" s="9">
        <f t="shared" ref="F14:K14" si="7">F13*14</f>
        <v>2</v>
      </c>
      <c r="G14" s="9">
        <f t="shared" si="7"/>
        <v>1.2</v>
      </c>
      <c r="H14" s="9">
        <f t="shared" si="7"/>
        <v>-3.2</v>
      </c>
      <c r="I14" s="9">
        <f t="shared" si="7"/>
        <v>5</v>
      </c>
      <c r="J14" s="9">
        <f t="shared" si="7"/>
        <v>-5</v>
      </c>
      <c r="K14" s="9">
        <f t="shared" si="7"/>
        <v>1.8</v>
      </c>
      <c r="S14" s="7"/>
      <c r="U14" s="7"/>
    </row>
    <row r="15">
      <c r="E15" s="7"/>
      <c r="F15" s="6"/>
      <c r="G15" s="7"/>
      <c r="H15" s="6"/>
      <c r="I15" s="7"/>
      <c r="K15" s="7"/>
      <c r="S15" s="7"/>
      <c r="U15" s="7"/>
    </row>
    <row r="16">
      <c r="A16" s="8">
        <f>A12+7</f>
        <v>45831</v>
      </c>
      <c r="B16" s="9">
        <f>B12+1</f>
        <v>4</v>
      </c>
      <c r="D16" s="6">
        <f>K12</f>
        <v>16.71428571</v>
      </c>
      <c r="E16" s="6">
        <f>16+11.2/14</f>
        <v>16.8</v>
      </c>
      <c r="F16" s="6">
        <f>16+10.6/14</f>
        <v>16.75714286</v>
      </c>
      <c r="G16" s="6">
        <f>16+10.2/14</f>
        <v>16.72857143</v>
      </c>
      <c r="H16" s="6">
        <f>16+8/14</f>
        <v>16.57142857</v>
      </c>
      <c r="I16" s="6">
        <f t="shared" ref="I16:K16" si="8">16+7.2/14</f>
        <v>16.51428571</v>
      </c>
      <c r="J16" s="6">
        <f t="shared" si="8"/>
        <v>16.51428571</v>
      </c>
      <c r="K16" s="6">
        <f t="shared" si="8"/>
        <v>16.51428571</v>
      </c>
      <c r="L16" s="7">
        <f>min(E16:K16)</f>
        <v>16.51428571</v>
      </c>
      <c r="M16" s="7">
        <f>MAX(E16:K16)</f>
        <v>16.8</v>
      </c>
      <c r="N16" s="7">
        <f>M16-L16</f>
        <v>0.2857142857</v>
      </c>
      <c r="O16" s="7">
        <f>K16-E16</f>
        <v>-0.2857142857</v>
      </c>
      <c r="P16" s="9">
        <f>O16*14</f>
        <v>-4</v>
      </c>
      <c r="Q16" s="7">
        <f>'Goals (stn) Part 2'!C8</f>
        <v>16.5</v>
      </c>
      <c r="R16" s="7">
        <f>L16</f>
        <v>16.51428571</v>
      </c>
      <c r="S16" s="7">
        <f>Q16-R16</f>
        <v>-0.01428571429</v>
      </c>
      <c r="T16" s="9">
        <f>S16*14</f>
        <v>-0.2</v>
      </c>
      <c r="U16" s="7">
        <f>AVERAGE(E16:K16)</f>
        <v>16.62857143</v>
      </c>
      <c r="V16" s="7">
        <f>-1*(U12-U16)</f>
        <v>-0.07959183673</v>
      </c>
    </row>
    <row r="17">
      <c r="D17" s="9">
        <f>D16*14</f>
        <v>234</v>
      </c>
      <c r="E17" s="7">
        <f>(K12-E16)</f>
        <v>-0.08571428571</v>
      </c>
      <c r="F17" s="7">
        <f t="shared" ref="F17:K17" si="9">F16-E16</f>
        <v>-0.04285714286</v>
      </c>
      <c r="G17" s="7">
        <f t="shared" si="9"/>
        <v>-0.02857142857</v>
      </c>
      <c r="H17" s="7">
        <f t="shared" si="9"/>
        <v>-0.1571428571</v>
      </c>
      <c r="I17" s="7">
        <f t="shared" si="9"/>
        <v>-0.05714285714</v>
      </c>
      <c r="J17" s="7">
        <f t="shared" si="9"/>
        <v>0</v>
      </c>
      <c r="K17" s="7">
        <f t="shared" si="9"/>
        <v>0</v>
      </c>
    </row>
    <row r="18">
      <c r="E18" s="7">
        <f>(K13-E17)*-1</f>
        <v>-0.2142857143</v>
      </c>
      <c r="F18" s="9">
        <f t="shared" ref="F18:K18" si="10">F17*14</f>
        <v>-0.6</v>
      </c>
      <c r="G18" s="9">
        <f t="shared" si="10"/>
        <v>-0.4</v>
      </c>
      <c r="H18" s="9">
        <f t="shared" si="10"/>
        <v>-2.2</v>
      </c>
      <c r="I18" s="9">
        <f t="shared" si="10"/>
        <v>-0.8</v>
      </c>
      <c r="J18" s="9">
        <f t="shared" si="10"/>
        <v>0</v>
      </c>
      <c r="K18" s="9">
        <f t="shared" si="10"/>
        <v>0</v>
      </c>
    </row>
    <row r="20">
      <c r="A20" s="8">
        <f>A16+7</f>
        <v>45838</v>
      </c>
      <c r="B20" s="9">
        <f>B16+1</f>
        <v>5</v>
      </c>
      <c r="D20" s="7">
        <f>K16</f>
        <v>16.51428571</v>
      </c>
      <c r="E20" s="7">
        <f>16+9.2/14</f>
        <v>16.65714286</v>
      </c>
      <c r="F20" s="7">
        <f>16+9/14</f>
        <v>16.64285714</v>
      </c>
      <c r="G20" s="7">
        <f>+16+10.2/14</f>
        <v>16.72857143</v>
      </c>
      <c r="H20" s="7">
        <f>+16+7.8/14</f>
        <v>16.55714286</v>
      </c>
      <c r="I20" s="7">
        <f>+16+6.8/14</f>
        <v>16.48571429</v>
      </c>
      <c r="J20" s="7">
        <f>+16+3.8/14</f>
        <v>16.27142857</v>
      </c>
      <c r="K20" s="7">
        <f>+16+9.2/14</f>
        <v>16.65714286</v>
      </c>
      <c r="L20" s="7">
        <f>min(E20:K20)</f>
        <v>16.27142857</v>
      </c>
      <c r="M20" s="7">
        <f>MAX(E20:K20)</f>
        <v>16.72857143</v>
      </c>
      <c r="N20" s="7">
        <f>M20-L20</f>
        <v>0.4571428571</v>
      </c>
      <c r="O20" s="7">
        <f>K20-E20</f>
        <v>0</v>
      </c>
      <c r="P20" s="9">
        <f>O20*14</f>
        <v>0</v>
      </c>
      <c r="Q20" s="7">
        <f>'Goals (stn) Part 2'!D10</f>
        <v>16.375</v>
      </c>
      <c r="R20" s="7">
        <f>L20</f>
        <v>16.27142857</v>
      </c>
      <c r="S20" s="7">
        <f>Q20-R20</f>
        <v>0.1035714286</v>
      </c>
      <c r="T20" s="9">
        <f>S20*14</f>
        <v>1.45</v>
      </c>
      <c r="U20" s="7">
        <f>AVERAGE(E20:K20)</f>
        <v>16.57142857</v>
      </c>
      <c r="V20" s="7">
        <f>-1*(U16-U20)</f>
        <v>-0.05714285714</v>
      </c>
    </row>
    <row r="21">
      <c r="D21" s="9">
        <f>D20*14</f>
        <v>231.2</v>
      </c>
      <c r="E21" s="7">
        <f>(K17-E20)*-1</f>
        <v>16.65714286</v>
      </c>
      <c r="F21" s="9">
        <f t="shared" ref="F21:K21" si="11">F20*14</f>
        <v>233</v>
      </c>
      <c r="G21" s="9">
        <f t="shared" si="11"/>
        <v>234.2</v>
      </c>
      <c r="H21" s="9">
        <f t="shared" si="11"/>
        <v>231.8</v>
      </c>
      <c r="I21" s="9">
        <f t="shared" si="11"/>
        <v>230.8</v>
      </c>
      <c r="J21" s="9">
        <f t="shared" si="11"/>
        <v>227.8</v>
      </c>
      <c r="K21" s="9">
        <f t="shared" si="11"/>
        <v>233.2</v>
      </c>
    </row>
    <row r="22">
      <c r="E22" s="7">
        <f t="shared" ref="E22:K22" si="12">(K17-E21)*-1</f>
        <v>16.65714286</v>
      </c>
      <c r="F22" s="7">
        <f t="shared" si="12"/>
        <v>233</v>
      </c>
      <c r="G22" s="7">
        <f t="shared" si="12"/>
        <v>234.2</v>
      </c>
      <c r="H22" s="7">
        <f t="shared" si="12"/>
        <v>231.8</v>
      </c>
      <c r="I22" s="7">
        <f t="shared" si="12"/>
        <v>230.8</v>
      </c>
      <c r="J22" s="7">
        <f t="shared" si="12"/>
        <v>227.8</v>
      </c>
      <c r="K22" s="7">
        <f t="shared" si="12"/>
        <v>233.2</v>
      </c>
    </row>
    <row r="24">
      <c r="A24" s="8">
        <f>A20+7</f>
        <v>45845</v>
      </c>
      <c r="B24" s="9">
        <f>B20+1</f>
        <v>6</v>
      </c>
      <c r="D24" s="6">
        <f>K20</f>
        <v>16.65714286</v>
      </c>
      <c r="E24" s="7">
        <f>16+9.2/14</f>
        <v>16.65714286</v>
      </c>
      <c r="F24" s="6">
        <f>16+12/14</f>
        <v>16.85714286</v>
      </c>
      <c r="G24" s="6">
        <f>16+10/14</f>
        <v>16.71428571</v>
      </c>
      <c r="H24" s="6">
        <f>16+7.8/14</f>
        <v>16.55714286</v>
      </c>
      <c r="I24" s="6">
        <f>16+5.8/14</f>
        <v>16.41428571</v>
      </c>
      <c r="J24" s="6">
        <f>16+3.8/14</f>
        <v>16.27142857</v>
      </c>
      <c r="K24" s="6">
        <f>16+12/14</f>
        <v>16.85714286</v>
      </c>
      <c r="L24" s="7">
        <f>min(E24:K24)</f>
        <v>16.27142857</v>
      </c>
      <c r="M24" s="7">
        <f>MAX(E24:K24)</f>
        <v>16.85714286</v>
      </c>
      <c r="N24" s="7">
        <f>M24-L24</f>
        <v>0.5857142857</v>
      </c>
      <c r="O24" s="7">
        <f>K24-E24</f>
        <v>0.2</v>
      </c>
      <c r="P24" s="9">
        <f>O24*14</f>
        <v>2.8</v>
      </c>
      <c r="Q24" s="7">
        <f>'Goals (stn) Part 2'!D11</f>
        <v>16.25</v>
      </c>
      <c r="R24" s="7">
        <f>L24</f>
        <v>16.27142857</v>
      </c>
      <c r="S24" s="7">
        <f>Q24-R24</f>
        <v>-0.02142857143</v>
      </c>
      <c r="T24" s="9">
        <f>S24*14</f>
        <v>-0.3</v>
      </c>
      <c r="U24" s="7">
        <f>AVERAGE(E24:K24)</f>
        <v>16.61836735</v>
      </c>
      <c r="V24" s="7">
        <f>-1*(U20-U24)</f>
        <v>0.04693877551</v>
      </c>
    </row>
    <row r="25">
      <c r="D25" s="9">
        <f>D24*14</f>
        <v>233.2</v>
      </c>
      <c r="E25" s="7">
        <f t="shared" ref="E25:K25" si="13">E24-D24</f>
        <v>0</v>
      </c>
      <c r="F25" s="7">
        <f t="shared" si="13"/>
        <v>0.2</v>
      </c>
      <c r="G25" s="7">
        <f t="shared" si="13"/>
        <v>-0.1428571429</v>
      </c>
      <c r="H25" s="7">
        <f t="shared" si="13"/>
        <v>-0.1571428571</v>
      </c>
      <c r="I25" s="7">
        <f t="shared" si="13"/>
        <v>-0.1428571429</v>
      </c>
      <c r="J25" s="7">
        <f t="shared" si="13"/>
        <v>-0.1428571429</v>
      </c>
      <c r="K25" s="7">
        <f t="shared" si="13"/>
        <v>0.5857142857</v>
      </c>
    </row>
    <row r="26">
      <c r="E26" s="7">
        <f>(K20-E25)*-1</f>
        <v>-16.65714286</v>
      </c>
      <c r="F26" s="9">
        <f t="shared" ref="F26:K26" si="14">F25*14</f>
        <v>2.8</v>
      </c>
      <c r="G26" s="9">
        <f t="shared" si="14"/>
        <v>-2</v>
      </c>
      <c r="H26" s="9">
        <f t="shared" si="14"/>
        <v>-2.2</v>
      </c>
      <c r="I26" s="9">
        <f t="shared" si="14"/>
        <v>-2</v>
      </c>
      <c r="J26" s="9">
        <f t="shared" si="14"/>
        <v>-2</v>
      </c>
      <c r="K26" s="9">
        <f t="shared" si="14"/>
        <v>8.2</v>
      </c>
    </row>
    <row r="28">
      <c r="A28" s="8">
        <f>A24+7</f>
        <v>45852</v>
      </c>
      <c r="B28" s="9">
        <f>B24+1</f>
        <v>7</v>
      </c>
      <c r="D28" s="7">
        <f>K24</f>
        <v>16.85714286</v>
      </c>
      <c r="E28" s="7">
        <f>16+9.2/14</f>
        <v>16.65714286</v>
      </c>
      <c r="F28" s="7">
        <f>16+10.2/14</f>
        <v>16.72857143</v>
      </c>
      <c r="G28" s="7">
        <f>16+9.2/14</f>
        <v>16.65714286</v>
      </c>
      <c r="H28" s="7">
        <f>16+10.2/14</f>
        <v>16.72857143</v>
      </c>
      <c r="I28" s="7">
        <f>16+5.8/14</f>
        <v>16.41428571</v>
      </c>
      <c r="J28" s="7">
        <f t="shared" ref="J28:K28" si="15">16+9.2/14</f>
        <v>16.65714286</v>
      </c>
      <c r="K28" s="7">
        <f t="shared" si="15"/>
        <v>16.65714286</v>
      </c>
      <c r="L28" s="7">
        <f>min(E28:K28)</f>
        <v>16.41428571</v>
      </c>
      <c r="M28" s="7">
        <f>MAX(E28:K28)</f>
        <v>16.72857143</v>
      </c>
      <c r="N28" s="7">
        <f>M28-L28</f>
        <v>0.3142857143</v>
      </c>
      <c r="O28" s="7">
        <f>K28-E28</f>
        <v>0</v>
      </c>
      <c r="P28" s="9">
        <f>O28*14</f>
        <v>0</v>
      </c>
      <c r="Q28" s="7">
        <f>'Goals (stn) Part 2'!D12</f>
        <v>16.125</v>
      </c>
      <c r="R28" s="7">
        <f>L28</f>
        <v>16.41428571</v>
      </c>
      <c r="S28" s="7">
        <f>Q28-R28</f>
        <v>-0.2892857143</v>
      </c>
      <c r="T28" s="9">
        <f>S28*14</f>
        <v>-4.05</v>
      </c>
      <c r="U28" s="7">
        <f>AVERAGE(E28:K28)</f>
        <v>16.64285714</v>
      </c>
      <c r="V28" s="7">
        <f>-1*(U24-U28)</f>
        <v>0.02448979592</v>
      </c>
    </row>
    <row r="29">
      <c r="E29" s="7">
        <f>(K25-E28)*-1</f>
        <v>16.07142857</v>
      </c>
      <c r="F29" s="7">
        <f t="shared" ref="F29:K29" si="16">F28-E28</f>
        <v>0.07142857143</v>
      </c>
      <c r="G29" s="7">
        <f t="shared" si="16"/>
        <v>-0.07142857143</v>
      </c>
      <c r="H29" s="7">
        <f t="shared" si="16"/>
        <v>0.07142857143</v>
      </c>
      <c r="I29" s="7">
        <f t="shared" si="16"/>
        <v>-0.3142857143</v>
      </c>
      <c r="J29" s="7">
        <f t="shared" si="16"/>
        <v>0.2428571429</v>
      </c>
      <c r="K29" s="7">
        <f t="shared" si="16"/>
        <v>0</v>
      </c>
    </row>
    <row r="30">
      <c r="E30" s="7">
        <f>(K24-E29)*-1</f>
        <v>-0.7857142857</v>
      </c>
      <c r="F30" s="9">
        <f t="shared" ref="F30:K30" si="17">F29*14</f>
        <v>1</v>
      </c>
      <c r="G30" s="9">
        <f t="shared" si="17"/>
        <v>-1</v>
      </c>
      <c r="H30" s="9">
        <f t="shared" si="17"/>
        <v>1</v>
      </c>
      <c r="I30" s="9">
        <f t="shared" si="17"/>
        <v>-4.4</v>
      </c>
      <c r="J30" s="9">
        <f t="shared" si="17"/>
        <v>3.4</v>
      </c>
      <c r="K30" s="9">
        <f t="shared" si="17"/>
        <v>0</v>
      </c>
    </row>
    <row r="31">
      <c r="D31" s="6"/>
      <c r="E31" s="6"/>
      <c r="F31" s="6"/>
      <c r="G31" s="6"/>
      <c r="H31" s="6"/>
      <c r="I31" s="6"/>
      <c r="J31" s="6"/>
      <c r="K31" s="6"/>
    </row>
    <row r="32">
      <c r="A32" s="8">
        <f>A28+7</f>
        <v>45859</v>
      </c>
      <c r="B32" s="9">
        <f>B28+1</f>
        <v>8</v>
      </c>
      <c r="D32" s="7">
        <f>K28</f>
        <v>16.65714286</v>
      </c>
      <c r="E32" s="7">
        <f>16+10.8/14</f>
        <v>16.77142857</v>
      </c>
      <c r="F32" s="7">
        <f>16+10.2/14</f>
        <v>16.72857143</v>
      </c>
      <c r="G32" s="7">
        <f>16+9.2/14</f>
        <v>16.65714286</v>
      </c>
      <c r="H32" s="7">
        <f>16+10.2/14</f>
        <v>16.72857143</v>
      </c>
      <c r="I32" s="7">
        <f>16+5.8/14</f>
        <v>16.41428571</v>
      </c>
      <c r="J32" s="7">
        <f>16+9.2/14</f>
        <v>16.65714286</v>
      </c>
      <c r="K32" s="7">
        <f>16+7.6/14</f>
        <v>16.54285714</v>
      </c>
      <c r="L32" s="7">
        <f>min(E32:K32)</f>
        <v>16.41428571</v>
      </c>
      <c r="M32" s="7">
        <f>MAX(E32:K32)</f>
        <v>16.77142857</v>
      </c>
      <c r="N32" s="7">
        <f>M32-L32</f>
        <v>0.3571428571</v>
      </c>
      <c r="O32" s="7">
        <f>K31-E31</f>
        <v>0</v>
      </c>
      <c r="P32" s="9">
        <f>O32*14</f>
        <v>0</v>
      </c>
      <c r="Q32" s="7">
        <f>'Goals (stn) Part 2'!D13</f>
        <v>16</v>
      </c>
      <c r="R32" s="7">
        <f>L32</f>
        <v>16.41428571</v>
      </c>
      <c r="S32" s="7">
        <f>Q32-R32</f>
        <v>-0.4142857143</v>
      </c>
      <c r="T32" s="9">
        <f>S32*14</f>
        <v>-5.8</v>
      </c>
      <c r="U32" s="7">
        <f>AVERAGE(E32:K32)</f>
        <v>16.64285714</v>
      </c>
      <c r="V32" s="7">
        <f>-1*(U28-U32)</f>
        <v>0</v>
      </c>
    </row>
    <row r="33">
      <c r="E33" s="7">
        <f>(K29-E32)*-1</f>
        <v>16.77142857</v>
      </c>
      <c r="F33" s="7">
        <f t="shared" ref="F33:K33" si="18">F32-E32</f>
        <v>-0.04285714286</v>
      </c>
      <c r="G33" s="7">
        <f t="shared" si="18"/>
        <v>-0.07142857143</v>
      </c>
      <c r="H33" s="7">
        <f t="shared" si="18"/>
        <v>0.07142857143</v>
      </c>
      <c r="I33" s="7">
        <f t="shared" si="18"/>
        <v>-0.3142857143</v>
      </c>
      <c r="J33" s="7">
        <f t="shared" si="18"/>
        <v>0.2428571429</v>
      </c>
      <c r="K33" s="7">
        <f t="shared" si="18"/>
        <v>-0.1142857143</v>
      </c>
    </row>
    <row r="34">
      <c r="E34" s="7">
        <f>(K28-E33)*-1</f>
        <v>0.1142857143</v>
      </c>
      <c r="F34" s="9">
        <f t="shared" ref="F34:K34" si="19">F33*14</f>
        <v>-0.6</v>
      </c>
      <c r="G34" s="9">
        <f t="shared" si="19"/>
        <v>-1</v>
      </c>
      <c r="H34" s="9">
        <f t="shared" si="19"/>
        <v>1</v>
      </c>
      <c r="I34" s="9">
        <f t="shared" si="19"/>
        <v>-4.4</v>
      </c>
      <c r="J34" s="9">
        <f t="shared" si="19"/>
        <v>3.4</v>
      </c>
      <c r="K34" s="9">
        <f t="shared" si="19"/>
        <v>-1.6</v>
      </c>
    </row>
    <row r="35">
      <c r="D35" s="6"/>
      <c r="E35" s="6"/>
      <c r="F35" s="6"/>
      <c r="G35" s="6"/>
      <c r="H35" s="6"/>
      <c r="I35" s="6"/>
      <c r="J35" s="6"/>
      <c r="K35" s="6"/>
    </row>
    <row r="36">
      <c r="A36" s="8">
        <f>A32+7</f>
        <v>45866</v>
      </c>
      <c r="B36" s="9">
        <f>B32+1</f>
        <v>9</v>
      </c>
      <c r="D36" s="7">
        <f>K32</f>
        <v>16.54285714</v>
      </c>
      <c r="E36" s="7">
        <f>16+9.2/14</f>
        <v>16.65714286</v>
      </c>
      <c r="F36" s="7">
        <f>16+10.2/14</f>
        <v>16.72857143</v>
      </c>
      <c r="G36" s="7">
        <f>16+9.2/14</f>
        <v>16.65714286</v>
      </c>
      <c r="H36" s="7">
        <f>16+10.2/14</f>
        <v>16.72857143</v>
      </c>
      <c r="I36" s="7">
        <f>16+7.4/14</f>
        <v>16.52857143</v>
      </c>
      <c r="J36" s="7">
        <f t="shared" ref="J36:K36" si="20">16+9.2/14</f>
        <v>16.65714286</v>
      </c>
      <c r="K36" s="7">
        <f t="shared" si="20"/>
        <v>16.65714286</v>
      </c>
      <c r="L36" s="7">
        <f>min(E36:K36)</f>
        <v>16.52857143</v>
      </c>
      <c r="M36" s="7">
        <f>MAX(E36:K36)</f>
        <v>16.72857143</v>
      </c>
      <c r="N36" s="7">
        <f>M36-L36</f>
        <v>0.2</v>
      </c>
      <c r="O36" s="7">
        <f>K35-E35</f>
        <v>0</v>
      </c>
      <c r="P36" s="9">
        <f>O36*14</f>
        <v>0</v>
      </c>
      <c r="Q36" s="7">
        <f>'Goals (stn) Part 2'!D14</f>
        <v>15.875</v>
      </c>
      <c r="R36" s="7">
        <f>L36</f>
        <v>16.52857143</v>
      </c>
      <c r="S36" s="7">
        <f>Q39-R36</f>
        <v>-16.52857143</v>
      </c>
      <c r="T36" s="9">
        <f>S36*14</f>
        <v>-231.4</v>
      </c>
      <c r="U36" s="7">
        <f>AVERAGE(E36:K36)</f>
        <v>16.65918367</v>
      </c>
      <c r="V36" s="7">
        <f>-1*(U32-U36)</f>
        <v>0.01632653061</v>
      </c>
    </row>
    <row r="37">
      <c r="E37" s="7">
        <f>(K33-E36)*-1</f>
        <v>16.77142857</v>
      </c>
      <c r="F37" s="7">
        <f t="shared" ref="F37:K37" si="21">F36-E36</f>
        <v>0.07142857143</v>
      </c>
      <c r="G37" s="7">
        <f t="shared" si="21"/>
        <v>-0.07142857143</v>
      </c>
      <c r="H37" s="7">
        <f t="shared" si="21"/>
        <v>0.07142857143</v>
      </c>
      <c r="I37" s="7">
        <f t="shared" si="21"/>
        <v>-0.2</v>
      </c>
      <c r="J37" s="7">
        <f t="shared" si="21"/>
        <v>0.1285714286</v>
      </c>
      <c r="K37" s="7">
        <f t="shared" si="21"/>
        <v>0</v>
      </c>
    </row>
    <row r="38">
      <c r="E38" s="7">
        <f>(K32-E37)*-1</f>
        <v>0.2285714286</v>
      </c>
      <c r="F38" s="9">
        <f t="shared" ref="F38:K38" si="22">F37*14</f>
        <v>1</v>
      </c>
      <c r="G38" s="9">
        <f t="shared" si="22"/>
        <v>-1</v>
      </c>
      <c r="H38" s="9">
        <f t="shared" si="22"/>
        <v>1</v>
      </c>
      <c r="I38" s="9">
        <f t="shared" si="22"/>
        <v>-2.8</v>
      </c>
      <c r="J38" s="9">
        <f t="shared" si="22"/>
        <v>1.8</v>
      </c>
      <c r="K38" s="9">
        <f t="shared" si="22"/>
        <v>0</v>
      </c>
    </row>
    <row r="39">
      <c r="D39" s="6"/>
      <c r="E39" s="6"/>
      <c r="F39" s="6"/>
      <c r="G39" s="6"/>
      <c r="H39" s="6"/>
      <c r="I39" s="6"/>
      <c r="J39" s="6"/>
      <c r="K39" s="6"/>
      <c r="Q39" s="7"/>
    </row>
    <row r="40">
      <c r="E40" s="7"/>
      <c r="S40" s="7"/>
      <c r="U40" s="7"/>
      <c r="V40" s="7"/>
    </row>
    <row r="41">
      <c r="E41" s="7"/>
    </row>
    <row r="43">
      <c r="D43" s="6"/>
      <c r="E43" s="6"/>
      <c r="F43" s="6"/>
      <c r="G43" s="6"/>
      <c r="H43" s="6"/>
      <c r="I43" s="6"/>
      <c r="J43" s="6"/>
      <c r="K43" s="6"/>
    </row>
    <row r="44">
      <c r="E44" s="7"/>
      <c r="S44" s="7"/>
      <c r="U44" s="7"/>
      <c r="V44" s="7"/>
    </row>
    <row r="45">
      <c r="E45" s="7"/>
    </row>
    <row r="47">
      <c r="D47" s="6"/>
      <c r="E47" s="6"/>
      <c r="F47" s="6"/>
      <c r="G47" s="6"/>
      <c r="H47" s="6"/>
      <c r="I47" s="6"/>
      <c r="J47" s="6"/>
      <c r="K47" s="6"/>
    </row>
    <row r="48">
      <c r="E48" s="7"/>
      <c r="S48" s="7"/>
      <c r="U48" s="7"/>
    </row>
    <row r="49">
      <c r="E49" s="7"/>
    </row>
    <row r="52">
      <c r="D52" s="6"/>
      <c r="E52" s="14"/>
      <c r="F52" s="14"/>
      <c r="G52" s="14"/>
      <c r="H52" s="14"/>
      <c r="I52" s="14"/>
      <c r="J52" s="14"/>
      <c r="K52" s="14"/>
      <c r="S52" s="7"/>
      <c r="U52" s="7"/>
    </row>
    <row r="53">
      <c r="E53" s="7"/>
    </row>
    <row r="54">
      <c r="E54" s="7"/>
    </row>
    <row r="56">
      <c r="D56" s="6"/>
      <c r="E56" s="15"/>
      <c r="F56" s="15"/>
      <c r="G56" s="15"/>
      <c r="H56" s="15"/>
      <c r="I56" s="15"/>
      <c r="J56" s="15"/>
      <c r="K56" s="15"/>
      <c r="S56" s="7"/>
      <c r="U56" s="7"/>
    </row>
    <row r="57">
      <c r="E57" s="7"/>
    </row>
    <row r="58">
      <c r="E58" s="7"/>
    </row>
    <row r="60">
      <c r="D60" s="6"/>
      <c r="E60" s="14"/>
      <c r="F60" s="14"/>
      <c r="G60" s="14"/>
      <c r="H60" s="14"/>
      <c r="I60" s="14"/>
      <c r="J60" s="14"/>
      <c r="K60" s="14"/>
    </row>
    <row r="61">
      <c r="E61" s="7"/>
    </row>
    <row r="62">
      <c r="E62" s="7"/>
    </row>
    <row r="64">
      <c r="D64" s="6"/>
      <c r="E64" s="14"/>
      <c r="F64" s="14"/>
      <c r="G64" s="14"/>
      <c r="H64" s="14"/>
      <c r="I64" s="14"/>
      <c r="J64" s="14"/>
      <c r="K64" s="14"/>
    </row>
    <row r="65">
      <c r="E65" s="7"/>
    </row>
    <row r="66">
      <c r="E66" s="7"/>
    </row>
    <row r="68">
      <c r="D68" s="6"/>
      <c r="E68" s="14"/>
      <c r="F68" s="14"/>
      <c r="G68" s="14"/>
      <c r="H68" s="14"/>
      <c r="I68" s="14"/>
      <c r="J68" s="14"/>
      <c r="K68" s="14"/>
    </row>
    <row r="69">
      <c r="E69" s="7"/>
    </row>
    <row r="70">
      <c r="E70" s="7"/>
    </row>
    <row r="72">
      <c r="A72" s="9">
        <f>A68+7</f>
        <v>7</v>
      </c>
      <c r="B72" s="9">
        <f>B68+1</f>
        <v>1</v>
      </c>
      <c r="D72" s="6" t="str">
        <f>K68</f>
        <v/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0.0</v>
      </c>
      <c r="K72" s="14">
        <v>0.0</v>
      </c>
      <c r="L72" s="7">
        <f>min(E72:K72)</f>
        <v>0</v>
      </c>
      <c r="M72" s="7">
        <f>MAX(E72:K72)</f>
        <v>0</v>
      </c>
      <c r="N72" s="7">
        <f>M72-L72</f>
        <v>0</v>
      </c>
      <c r="O72" s="7">
        <f>K72-E72</f>
        <v>0</v>
      </c>
      <c r="P72" s="9">
        <f>O72*14</f>
        <v>0</v>
      </c>
    </row>
    <row r="73">
      <c r="D73" s="9">
        <f>D72*14</f>
        <v>0</v>
      </c>
      <c r="E73" s="7">
        <f>E72-K68</f>
        <v>0</v>
      </c>
      <c r="F73" s="7">
        <f t="shared" ref="F73:K73" si="23">F72-E72</f>
        <v>0</v>
      </c>
      <c r="G73" s="7">
        <f t="shared" si="23"/>
        <v>0</v>
      </c>
      <c r="H73" s="7">
        <f t="shared" si="23"/>
        <v>0</v>
      </c>
      <c r="I73" s="7">
        <f t="shared" si="23"/>
        <v>0</v>
      </c>
      <c r="J73" s="7">
        <f t="shared" si="23"/>
        <v>0</v>
      </c>
      <c r="K73" s="7">
        <f t="shared" si="23"/>
        <v>0</v>
      </c>
    </row>
    <row r="74">
      <c r="E74" s="7">
        <f>(K69-E73)*-1</f>
        <v>0</v>
      </c>
      <c r="F74" s="9">
        <f t="shared" ref="F74:K74" si="24">F73*14</f>
        <v>0</v>
      </c>
      <c r="G74" s="9">
        <f t="shared" si="24"/>
        <v>0</v>
      </c>
      <c r="H74" s="9">
        <f t="shared" si="24"/>
        <v>0</v>
      </c>
      <c r="I74" s="9">
        <f t="shared" si="24"/>
        <v>0</v>
      </c>
      <c r="J74" s="9">
        <f t="shared" si="24"/>
        <v>0</v>
      </c>
      <c r="K74" s="9">
        <f t="shared" si="24"/>
        <v>0</v>
      </c>
    </row>
    <row r="76">
      <c r="A76" s="9">
        <f>A72+7</f>
        <v>14</v>
      </c>
      <c r="B76" s="9">
        <f>B72+1</f>
        <v>2</v>
      </c>
      <c r="D76" s="6">
        <f>K72</f>
        <v>0</v>
      </c>
      <c r="E76" s="14">
        <v>0.0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  <c r="K76" s="14">
        <v>0.0</v>
      </c>
      <c r="L76" s="7">
        <f>min(E76:K76)</f>
        <v>0</v>
      </c>
      <c r="M76" s="7">
        <f>MAX(E76:K76)</f>
        <v>0</v>
      </c>
      <c r="N76" s="7">
        <f>M76-L76</f>
        <v>0</v>
      </c>
      <c r="O76" s="7">
        <f>K76-E76</f>
        <v>0</v>
      </c>
      <c r="P76" s="9">
        <f>O76*14</f>
        <v>0</v>
      </c>
    </row>
    <row r="77">
      <c r="D77" s="9">
        <f>D76*14</f>
        <v>0</v>
      </c>
      <c r="E77" s="7">
        <f>E76-K72</f>
        <v>0</v>
      </c>
      <c r="F77" s="7">
        <f t="shared" ref="F77:K77" si="25">F76-E76</f>
        <v>0</v>
      </c>
      <c r="G77" s="7">
        <f t="shared" si="25"/>
        <v>0</v>
      </c>
      <c r="H77" s="7">
        <f t="shared" si="25"/>
        <v>0</v>
      </c>
      <c r="I77" s="7">
        <f t="shared" si="25"/>
        <v>0</v>
      </c>
      <c r="J77" s="7">
        <f t="shared" si="25"/>
        <v>0</v>
      </c>
      <c r="K77" s="7">
        <f t="shared" si="25"/>
        <v>0</v>
      </c>
    </row>
    <row r="78">
      <c r="E78" s="7">
        <f>(K73-E77)*-1</f>
        <v>0</v>
      </c>
      <c r="F78" s="9">
        <f t="shared" ref="F78:K78" si="26">F77*14</f>
        <v>0</v>
      </c>
      <c r="G78" s="9">
        <f t="shared" si="26"/>
        <v>0</v>
      </c>
      <c r="H78" s="9">
        <f t="shared" si="26"/>
        <v>0</v>
      </c>
      <c r="I78" s="9">
        <f t="shared" si="26"/>
        <v>0</v>
      </c>
      <c r="J78" s="9">
        <f t="shared" si="26"/>
        <v>0</v>
      </c>
      <c r="K78" s="9">
        <f t="shared" si="26"/>
        <v>0</v>
      </c>
      <c r="L78" s="7">
        <f>average($L$4:L76)</f>
        <v>13.43376623</v>
      </c>
      <c r="M78" s="9">
        <f>average($M$4:M76)</f>
        <v>13.77792208</v>
      </c>
    </row>
  </sheetData>
  <conditionalFormatting sqref="O4 O8 O12 O16 O20 O24 O28 O32 O36 O40 O44 O48 O52 O56 O60 O64 O68 O72 O76">
    <cfRule type="cellIs" dxfId="0" priority="1" operator="greaterThan">
      <formula>0</formula>
    </cfRule>
  </conditionalFormatting>
  <conditionalFormatting sqref="O4 O8 O12 O16 O20 O24 O28 O32 O36 O40 O44 O48 O52 O56 O60 O64 O68 O72 O76">
    <cfRule type="cellIs" dxfId="1" priority="2" operator="lessThan">
      <formula>0</formula>
    </cfRule>
  </conditionalFormatting>
  <conditionalFormatting sqref="O24 O28">
    <cfRule type="notContainsBlanks" dxfId="2" priority="3">
      <formula>LEN(TRIM(O24))&gt;0</formula>
    </cfRule>
  </conditionalFormatting>
  <conditionalFormatting sqref="S4 S8 S12 S16 S20 S24 S28 S32 S36 S40 S44 S48 S52 S56">
    <cfRule type="cellIs" dxfId="3" priority="4" operator="greaterThan">
      <formula>0</formula>
    </cfRule>
  </conditionalFormatting>
  <conditionalFormatting sqref="S4 S8 S12 S16 S20 S24 S28 S32 S36 S40 S44 S48 S52 S56">
    <cfRule type="cellIs" dxfId="3" priority="5" operator="greaterThan">
      <formula>0</formula>
    </cfRule>
  </conditionalFormatting>
  <conditionalFormatting sqref="S4 S8 S12 S16 S20 S24 S28 S32 S36 S40 S44 S48 S52 S56">
    <cfRule type="cellIs" dxfId="4" priority="6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3.38"/>
    <col customWidth="1" min="14" max="14" width="13.25"/>
    <col customWidth="1" min="15" max="15" width="16.63"/>
    <col customWidth="1" min="16" max="16" width="16.25"/>
    <col customWidth="1" min="19" max="19" width="17.5"/>
  </cols>
  <sheetData>
    <row r="1">
      <c r="B1" s="1" t="s">
        <v>1</v>
      </c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>
      <c r="D2" s="1" t="s">
        <v>14</v>
      </c>
      <c r="E2" s="4" t="s">
        <v>15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22</v>
      </c>
      <c r="K2" s="4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23</v>
      </c>
      <c r="S2" s="1" t="s">
        <v>29</v>
      </c>
      <c r="T2" s="1" t="s">
        <v>30</v>
      </c>
      <c r="U2" s="1" t="s">
        <v>31</v>
      </c>
    </row>
    <row r="3">
      <c r="H3" s="7"/>
      <c r="P3" s="1"/>
      <c r="R3" s="6"/>
      <c r="U3" s="7"/>
    </row>
    <row r="4">
      <c r="A4" s="8">
        <f>'Goals (lbs) Part 2'!A16</f>
        <v>45873</v>
      </c>
      <c r="B4" s="1">
        <v>1.0</v>
      </c>
      <c r="D4" s="1">
        <v>17.0</v>
      </c>
      <c r="E4" s="1">
        <f>D4</f>
        <v>17</v>
      </c>
      <c r="F4" s="6">
        <f>16 +8.6/14</f>
        <v>16.61428571</v>
      </c>
      <c r="G4" s="6">
        <f t="shared" ref="G4:H4" si="1">F4</f>
        <v>16.61428571</v>
      </c>
      <c r="H4" s="6">
        <f t="shared" si="1"/>
        <v>16.61428571</v>
      </c>
      <c r="I4" s="6">
        <f>+16+11.4/16</f>
        <v>16.7125</v>
      </c>
      <c r="J4" s="1">
        <v>17.0</v>
      </c>
      <c r="K4" s="1">
        <f> +16+11.2/16</f>
        <v>16.7</v>
      </c>
      <c r="L4" s="7">
        <f>min(E4:K4)</f>
        <v>16.61428571</v>
      </c>
      <c r="M4" s="9">
        <f>MAX(E4:K4)</f>
        <v>17</v>
      </c>
      <c r="N4" s="7">
        <f>M4-L4</f>
        <v>0.3857142857</v>
      </c>
      <c r="O4" s="9">
        <f>K4-E4</f>
        <v>-0.3</v>
      </c>
      <c r="P4" s="9">
        <f>O4*14</f>
        <v>-4.2</v>
      </c>
      <c r="Q4" s="7">
        <f>'Goals (stn) Part 2'!E16</f>
        <v>15.75</v>
      </c>
      <c r="R4" s="7">
        <f>L4</f>
        <v>16.61428571</v>
      </c>
      <c r="S4" s="7">
        <f>Q4-R4</f>
        <v>-0.8642857143</v>
      </c>
      <c r="T4" s="9">
        <f>S4*14</f>
        <v>-12.1</v>
      </c>
      <c r="U4" s="7">
        <f>AVERAGE(E4:K4)</f>
        <v>16.75076531</v>
      </c>
      <c r="V4" s="7"/>
    </row>
    <row r="5">
      <c r="D5" s="9">
        <f>D4*14</f>
        <v>238</v>
      </c>
      <c r="E5" s="9">
        <f t="shared" ref="E5:K5" si="2">E4-D4</f>
        <v>0</v>
      </c>
      <c r="F5" s="7">
        <f t="shared" si="2"/>
        <v>-0.3857142857</v>
      </c>
      <c r="G5" s="7">
        <f t="shared" si="2"/>
        <v>0</v>
      </c>
      <c r="H5" s="7">
        <f t="shared" si="2"/>
        <v>0</v>
      </c>
      <c r="I5" s="7">
        <f t="shared" si="2"/>
        <v>0.09821428571</v>
      </c>
      <c r="J5" s="7">
        <f t="shared" si="2"/>
        <v>0.2875</v>
      </c>
      <c r="K5" s="9">
        <f t="shared" si="2"/>
        <v>-0.3</v>
      </c>
      <c r="S5" s="7"/>
      <c r="U5" s="7"/>
    </row>
    <row r="6">
      <c r="E6" s="9">
        <f t="shared" ref="E6:K6" si="3">E5*14</f>
        <v>0</v>
      </c>
      <c r="F6" s="9">
        <f t="shared" si="3"/>
        <v>-5.4</v>
      </c>
      <c r="G6" s="9">
        <f t="shared" si="3"/>
        <v>0</v>
      </c>
      <c r="H6" s="9">
        <f t="shared" si="3"/>
        <v>0</v>
      </c>
      <c r="I6" s="9">
        <f t="shared" si="3"/>
        <v>1.375</v>
      </c>
      <c r="J6" s="9">
        <f t="shared" si="3"/>
        <v>4.025</v>
      </c>
      <c r="K6" s="9">
        <f t="shared" si="3"/>
        <v>-4.2</v>
      </c>
      <c r="S6" s="7"/>
      <c r="U6" s="7"/>
    </row>
    <row r="7">
      <c r="E7" s="7"/>
      <c r="F7" s="7"/>
      <c r="G7" s="7"/>
      <c r="H7" s="7"/>
      <c r="I7" s="7"/>
      <c r="K7" s="7"/>
      <c r="S7" s="7"/>
      <c r="U7" s="7"/>
    </row>
    <row r="8">
      <c r="A8" s="8">
        <f>A4+7</f>
        <v>45880</v>
      </c>
      <c r="B8" s="9">
        <f>B4+1</f>
        <v>2</v>
      </c>
      <c r="D8" s="6">
        <f>K4</f>
        <v>16.7</v>
      </c>
      <c r="E8" s="6">
        <v>17.0</v>
      </c>
      <c r="F8" s="6">
        <f>E8</f>
        <v>17</v>
      </c>
      <c r="G8" s="6">
        <f>16+10.4/14</f>
        <v>16.74285714</v>
      </c>
      <c r="H8" s="6">
        <f>16+6/14</f>
        <v>16.42857143</v>
      </c>
      <c r="I8" s="6">
        <f>16+3.2/14</f>
        <v>16.22857143</v>
      </c>
      <c r="J8" s="6">
        <f>16+2.2/14</f>
        <v>16.15714286</v>
      </c>
      <c r="K8" s="6">
        <f>16+5/14</f>
        <v>16.35714286</v>
      </c>
      <c r="L8" s="7">
        <f>min(E8:K8)</f>
        <v>16.15714286</v>
      </c>
      <c r="M8" s="7">
        <f>MAX(E8:K8)</f>
        <v>17</v>
      </c>
      <c r="N8" s="7">
        <f>M8-L8</f>
        <v>0.8428571429</v>
      </c>
      <c r="O8" s="7">
        <f>K8-E8</f>
        <v>-0.6428571429</v>
      </c>
      <c r="P8" s="9">
        <f>O8*14</f>
        <v>-9</v>
      </c>
      <c r="Q8" s="7">
        <f>'Goals (stn) Part 2'!E17</f>
        <v>15.625</v>
      </c>
      <c r="R8" s="7">
        <f>L8</f>
        <v>16.15714286</v>
      </c>
      <c r="S8" s="7">
        <f>Q8-R8</f>
        <v>-0.5321428571</v>
      </c>
      <c r="T8" s="9">
        <f>S8*14</f>
        <v>-7.45</v>
      </c>
      <c r="U8" s="7">
        <f>AVERAGE(E8:K8)</f>
        <v>16.55918367</v>
      </c>
      <c r="V8" s="7">
        <f>-1*(U4-U8)</f>
        <v>-0.1915816327</v>
      </c>
    </row>
    <row r="9">
      <c r="D9" s="9">
        <f>D8*14</f>
        <v>233.8</v>
      </c>
      <c r="E9" s="7">
        <f>E8-K4</f>
        <v>0.3</v>
      </c>
      <c r="F9" s="7">
        <f t="shared" ref="F9:K9" si="4">F8-E8</f>
        <v>0</v>
      </c>
      <c r="G9" s="7">
        <f t="shared" si="4"/>
        <v>-0.2571428571</v>
      </c>
      <c r="H9" s="7">
        <f t="shared" si="4"/>
        <v>-0.3142857143</v>
      </c>
      <c r="I9" s="7">
        <f t="shared" si="4"/>
        <v>-0.2</v>
      </c>
      <c r="J9" s="7">
        <f t="shared" si="4"/>
        <v>-0.07142857143</v>
      </c>
      <c r="K9" s="7">
        <f t="shared" si="4"/>
        <v>0.2</v>
      </c>
      <c r="S9" s="7"/>
      <c r="U9" s="7"/>
    </row>
    <row r="10">
      <c r="E10" s="7">
        <f>(K5-E9)*-1</f>
        <v>0.6</v>
      </c>
      <c r="F10" s="9">
        <f t="shared" ref="F10:K10" si="5">F9*14</f>
        <v>0</v>
      </c>
      <c r="G10" s="9">
        <f t="shared" si="5"/>
        <v>-3.6</v>
      </c>
      <c r="H10" s="9">
        <f t="shared" si="5"/>
        <v>-4.4</v>
      </c>
      <c r="I10" s="9">
        <f t="shared" si="5"/>
        <v>-2.8</v>
      </c>
      <c r="J10" s="9">
        <f t="shared" si="5"/>
        <v>-1</v>
      </c>
      <c r="K10" s="9">
        <f t="shared" si="5"/>
        <v>2.8</v>
      </c>
      <c r="S10" s="7"/>
      <c r="U10" s="7"/>
    </row>
    <row r="11">
      <c r="E11" s="7"/>
      <c r="F11" s="7"/>
      <c r="G11" s="7"/>
      <c r="H11" s="7"/>
      <c r="I11" s="7"/>
      <c r="K11" s="7"/>
      <c r="S11" s="7"/>
      <c r="U11" s="7"/>
    </row>
    <row r="12">
      <c r="A12" s="8">
        <f>A8+7</f>
        <v>45887</v>
      </c>
      <c r="B12" s="9">
        <f>B8+1</f>
        <v>3</v>
      </c>
      <c r="D12" s="6">
        <f>K8</f>
        <v>16.35714286</v>
      </c>
      <c r="E12" s="6">
        <f>16+8.2/14</f>
        <v>16.58571429</v>
      </c>
      <c r="F12" s="6">
        <f>16+10.2/14</f>
        <v>16.72857143</v>
      </c>
      <c r="G12" s="6">
        <f>16+11.4/14</f>
        <v>16.81428571</v>
      </c>
      <c r="H12" s="6">
        <f>16+8.2/14</f>
        <v>16.58571429</v>
      </c>
      <c r="I12" s="6">
        <f>16+13.2/14</f>
        <v>16.94285714</v>
      </c>
      <c r="J12" s="6">
        <f>16+8.2/14</f>
        <v>16.58571429</v>
      </c>
      <c r="K12" s="6">
        <f>16+10/14</f>
        <v>16.71428571</v>
      </c>
      <c r="L12" s="7">
        <f>min(E12:K12)</f>
        <v>16.58571429</v>
      </c>
      <c r="M12" s="7">
        <f>MAX(E12:K12)</f>
        <v>16.94285714</v>
      </c>
      <c r="N12" s="7">
        <f>M12-L12</f>
        <v>0.3571428571</v>
      </c>
      <c r="O12" s="7">
        <f>K12-E12</f>
        <v>0.1285714286</v>
      </c>
      <c r="P12" s="9">
        <f>O12*14</f>
        <v>1.8</v>
      </c>
      <c r="Q12" s="7">
        <f>'Goals (stn) Part 2'!E18</f>
        <v>15.5</v>
      </c>
      <c r="R12" s="7">
        <f>L12</f>
        <v>16.58571429</v>
      </c>
      <c r="S12" s="7">
        <f>Q12-R12</f>
        <v>-1.085714286</v>
      </c>
      <c r="T12" s="9">
        <f>S12*14</f>
        <v>-15.2</v>
      </c>
      <c r="U12" s="7">
        <f>AVERAGE(E12:K12)</f>
        <v>16.70816327</v>
      </c>
      <c r="V12" s="7">
        <f>-1*(U8-U12)</f>
        <v>0.1489795918</v>
      </c>
    </row>
    <row r="13">
      <c r="D13" s="9">
        <f>D12*14</f>
        <v>229</v>
      </c>
      <c r="E13" s="7">
        <f>(K8-E12)</f>
        <v>-0.2285714286</v>
      </c>
      <c r="F13" s="7">
        <f t="shared" ref="F13:K13" si="6">F12-E12</f>
        <v>0.1428571429</v>
      </c>
      <c r="G13" s="7">
        <f t="shared" si="6"/>
        <v>0.08571428571</v>
      </c>
      <c r="H13" s="7">
        <f t="shared" si="6"/>
        <v>-0.2285714286</v>
      </c>
      <c r="I13" s="7">
        <f t="shared" si="6"/>
        <v>0.3571428571</v>
      </c>
      <c r="J13" s="7">
        <f t="shared" si="6"/>
        <v>-0.3571428571</v>
      </c>
      <c r="K13" s="7">
        <f t="shared" si="6"/>
        <v>0.1285714286</v>
      </c>
      <c r="S13" s="7"/>
      <c r="U13" s="7"/>
    </row>
    <row r="14">
      <c r="E14" s="7">
        <f>(K9-E13)*-1</f>
        <v>-0.4285714286</v>
      </c>
      <c r="F14" s="9">
        <f t="shared" ref="F14:K14" si="7">F13*14</f>
        <v>2</v>
      </c>
      <c r="G14" s="9">
        <f t="shared" si="7"/>
        <v>1.2</v>
      </c>
      <c r="H14" s="9">
        <f t="shared" si="7"/>
        <v>-3.2</v>
      </c>
      <c r="I14" s="9">
        <f t="shared" si="7"/>
        <v>5</v>
      </c>
      <c r="J14" s="9">
        <f t="shared" si="7"/>
        <v>-5</v>
      </c>
      <c r="K14" s="9">
        <f t="shared" si="7"/>
        <v>1.8</v>
      </c>
      <c r="S14" s="7"/>
      <c r="U14" s="7"/>
    </row>
    <row r="15">
      <c r="E15" s="7"/>
      <c r="F15" s="6"/>
      <c r="G15" s="7"/>
      <c r="H15" s="6"/>
      <c r="I15" s="7"/>
      <c r="K15" s="7"/>
      <c r="S15" s="7"/>
      <c r="U15" s="7"/>
    </row>
    <row r="16">
      <c r="A16" s="8">
        <f>A12+7</f>
        <v>45894</v>
      </c>
      <c r="B16" s="9">
        <f>B12+1</f>
        <v>4</v>
      </c>
      <c r="D16" s="6">
        <f>K12</f>
        <v>16.71428571</v>
      </c>
      <c r="E16" s="6">
        <f>16+11.2/14</f>
        <v>16.8</v>
      </c>
      <c r="F16" s="6">
        <f>16+10.6/14</f>
        <v>16.75714286</v>
      </c>
      <c r="G16" s="6">
        <f>16+10.2/14</f>
        <v>16.72857143</v>
      </c>
      <c r="H16" s="6">
        <f>16+8/14</f>
        <v>16.57142857</v>
      </c>
      <c r="I16" s="6">
        <f t="shared" ref="I16:K16" si="8">16+11.8/14</f>
        <v>16.84285714</v>
      </c>
      <c r="J16" s="6">
        <f t="shared" si="8"/>
        <v>16.84285714</v>
      </c>
      <c r="K16" s="6">
        <f t="shared" si="8"/>
        <v>16.84285714</v>
      </c>
      <c r="L16" s="7">
        <f>min(E16:K16)</f>
        <v>16.57142857</v>
      </c>
      <c r="M16" s="7">
        <f>MAX(E16:K16)</f>
        <v>16.84285714</v>
      </c>
      <c r="N16" s="7">
        <f>M16-L16</f>
        <v>0.2714285714</v>
      </c>
      <c r="O16" s="7">
        <f>K16-E16</f>
        <v>0.04285714286</v>
      </c>
      <c r="P16" s="9">
        <f>O16*14</f>
        <v>0.6</v>
      </c>
      <c r="Q16" s="7">
        <f>'Goals (stn) Part 2'!E19</f>
        <v>17</v>
      </c>
      <c r="R16" s="7">
        <f>L16</f>
        <v>16.57142857</v>
      </c>
      <c r="S16" s="7">
        <f>Q16-R16</f>
        <v>0.4285714286</v>
      </c>
      <c r="T16" s="9">
        <f>S16*14</f>
        <v>6</v>
      </c>
      <c r="U16" s="7">
        <f>AVERAGE(E16:K16)</f>
        <v>16.76938776</v>
      </c>
      <c r="V16" s="7">
        <f>-1*(U12-U16)</f>
        <v>0.0612244898</v>
      </c>
    </row>
    <row r="17">
      <c r="D17" s="9">
        <f>D16*14</f>
        <v>234</v>
      </c>
      <c r="E17" s="7">
        <f>(K12-E16)</f>
        <v>-0.08571428571</v>
      </c>
      <c r="F17" s="7">
        <f t="shared" ref="F17:K17" si="9">F16-E16</f>
        <v>-0.04285714286</v>
      </c>
      <c r="G17" s="7">
        <f t="shared" si="9"/>
        <v>-0.02857142857</v>
      </c>
      <c r="H17" s="7">
        <f t="shared" si="9"/>
        <v>-0.1571428571</v>
      </c>
      <c r="I17" s="7">
        <f t="shared" si="9"/>
        <v>0.2714285714</v>
      </c>
      <c r="J17" s="7">
        <f t="shared" si="9"/>
        <v>0</v>
      </c>
      <c r="K17" s="7">
        <f t="shared" si="9"/>
        <v>0</v>
      </c>
    </row>
    <row r="18">
      <c r="E18" s="7">
        <f>(K13-E17)*-1</f>
        <v>-0.2142857143</v>
      </c>
      <c r="F18" s="9">
        <f t="shared" ref="F18:K18" si="10">F17*14</f>
        <v>-0.6</v>
      </c>
      <c r="G18" s="9">
        <f t="shared" si="10"/>
        <v>-0.4</v>
      </c>
      <c r="H18" s="9">
        <f t="shared" si="10"/>
        <v>-2.2</v>
      </c>
      <c r="I18" s="9">
        <f t="shared" si="10"/>
        <v>3.8</v>
      </c>
      <c r="J18" s="9">
        <f t="shared" si="10"/>
        <v>0</v>
      </c>
      <c r="K18" s="9">
        <f t="shared" si="10"/>
        <v>0</v>
      </c>
    </row>
    <row r="20">
      <c r="A20" s="8">
        <f>A16+7</f>
        <v>45901</v>
      </c>
      <c r="B20" s="9">
        <f>B16+1</f>
        <v>5</v>
      </c>
      <c r="D20" s="7">
        <f>K16</f>
        <v>16.84285714</v>
      </c>
      <c r="E20" s="7">
        <f>16+9.2/14</f>
        <v>16.65714286</v>
      </c>
      <c r="F20" s="7">
        <f>16+9/14</f>
        <v>16.64285714</v>
      </c>
      <c r="G20" s="7">
        <f>+16+10.2/14</f>
        <v>16.72857143</v>
      </c>
      <c r="H20" s="7">
        <f>+16+7.8/14</f>
        <v>16.55714286</v>
      </c>
      <c r="I20" s="7">
        <f>+16+6.8/14</f>
        <v>16.48571429</v>
      </c>
      <c r="J20" s="7">
        <f>+16+3.8/14</f>
        <v>16.27142857</v>
      </c>
      <c r="K20" s="7">
        <f>+16+9.2/14</f>
        <v>16.65714286</v>
      </c>
      <c r="L20" s="7">
        <f>min(E20:K20)</f>
        <v>16.27142857</v>
      </c>
      <c r="M20" s="7">
        <f>MAX(E20:K20)</f>
        <v>16.72857143</v>
      </c>
      <c r="N20" s="7">
        <f>M20-L20</f>
        <v>0.4571428571</v>
      </c>
      <c r="O20" s="7">
        <f>K20-E20</f>
        <v>0</v>
      </c>
      <c r="P20" s="9">
        <f>O20*14</f>
        <v>0</v>
      </c>
      <c r="Q20" s="7">
        <f>'Goals (stn) Part 2'!F21</f>
        <v>16.875</v>
      </c>
      <c r="R20" s="7">
        <f>L20</f>
        <v>16.27142857</v>
      </c>
      <c r="S20" s="7">
        <f>Q20-R20</f>
        <v>0.6035714286</v>
      </c>
      <c r="T20" s="9">
        <f>S20*14</f>
        <v>8.45</v>
      </c>
      <c r="U20" s="7">
        <f>AVERAGE(E20:K20)</f>
        <v>16.57142857</v>
      </c>
      <c r="V20" s="7">
        <f>-1*(U16-U20)</f>
        <v>-0.1979591837</v>
      </c>
    </row>
    <row r="21">
      <c r="D21" s="9">
        <f>D20*14</f>
        <v>235.8</v>
      </c>
      <c r="E21" s="7">
        <f>(K17-E20)*-1</f>
        <v>16.65714286</v>
      </c>
      <c r="F21" s="9">
        <f t="shared" ref="F21:K21" si="11">F20*14</f>
        <v>233</v>
      </c>
      <c r="G21" s="9">
        <f t="shared" si="11"/>
        <v>234.2</v>
      </c>
      <c r="H21" s="9">
        <f t="shared" si="11"/>
        <v>231.8</v>
      </c>
      <c r="I21" s="9">
        <f t="shared" si="11"/>
        <v>230.8</v>
      </c>
      <c r="J21" s="9">
        <f t="shared" si="11"/>
        <v>227.8</v>
      </c>
      <c r="K21" s="9">
        <f t="shared" si="11"/>
        <v>233.2</v>
      </c>
    </row>
    <row r="22">
      <c r="E22" s="7">
        <f t="shared" ref="E22:K22" si="12">(K17-E21)*-1</f>
        <v>16.65714286</v>
      </c>
      <c r="F22" s="7">
        <f t="shared" si="12"/>
        <v>233</v>
      </c>
      <c r="G22" s="7">
        <f t="shared" si="12"/>
        <v>234.2</v>
      </c>
      <c r="H22" s="7">
        <f t="shared" si="12"/>
        <v>231.8</v>
      </c>
      <c r="I22" s="7">
        <f t="shared" si="12"/>
        <v>230.8</v>
      </c>
      <c r="J22" s="7">
        <f t="shared" si="12"/>
        <v>227.8</v>
      </c>
      <c r="K22" s="7">
        <f t="shared" si="12"/>
        <v>233.2</v>
      </c>
    </row>
    <row r="24">
      <c r="A24" s="8">
        <f>A20+7</f>
        <v>45908</v>
      </c>
      <c r="B24" s="9">
        <f>B20+1</f>
        <v>6</v>
      </c>
      <c r="D24" s="6">
        <f>K20</f>
        <v>16.65714286</v>
      </c>
      <c r="E24" s="7">
        <f>16+9.2/14</f>
        <v>16.65714286</v>
      </c>
      <c r="F24" s="6">
        <f>16+12/14</f>
        <v>16.85714286</v>
      </c>
      <c r="G24" s="6">
        <f>16+10/14</f>
        <v>16.71428571</v>
      </c>
      <c r="H24" s="6">
        <f>16+7.8/14</f>
        <v>16.55714286</v>
      </c>
      <c r="I24" s="6">
        <f>16+5.8/14</f>
        <v>16.41428571</v>
      </c>
      <c r="J24" s="6">
        <f>16+3.8/14</f>
        <v>16.27142857</v>
      </c>
      <c r="K24" s="6">
        <f>16+12/14</f>
        <v>16.85714286</v>
      </c>
      <c r="L24" s="7">
        <f>min(E24:K24)</f>
        <v>16.27142857</v>
      </c>
      <c r="M24" s="7">
        <f>MAX(E24:K24)</f>
        <v>16.85714286</v>
      </c>
      <c r="N24" s="7">
        <f>M24-L24</f>
        <v>0.5857142857</v>
      </c>
      <c r="O24" s="7">
        <f>K24-E24</f>
        <v>0.2</v>
      </c>
      <c r="P24" s="9">
        <f>O24*14</f>
        <v>2.8</v>
      </c>
      <c r="Q24" s="7">
        <f>'Goals (stn) Part 2'!F22</f>
        <v>16.75</v>
      </c>
      <c r="R24" s="7">
        <f>L24</f>
        <v>16.27142857</v>
      </c>
      <c r="S24" s="7">
        <f>Q24-R24</f>
        <v>0.4785714286</v>
      </c>
      <c r="T24" s="9">
        <f>S24*14</f>
        <v>6.7</v>
      </c>
      <c r="U24" s="7">
        <f>AVERAGE(E24:K24)</f>
        <v>16.61836735</v>
      </c>
      <c r="V24" s="7">
        <f>-1*(U20-U24)</f>
        <v>0.04693877551</v>
      </c>
    </row>
    <row r="25">
      <c r="D25" s="9">
        <f>D24*14</f>
        <v>233.2</v>
      </c>
      <c r="E25" s="7">
        <f t="shared" ref="E25:K25" si="13">E24-D24</f>
        <v>0</v>
      </c>
      <c r="F25" s="7">
        <f t="shared" si="13"/>
        <v>0.2</v>
      </c>
      <c r="G25" s="7">
        <f t="shared" si="13"/>
        <v>-0.1428571429</v>
      </c>
      <c r="H25" s="7">
        <f t="shared" si="13"/>
        <v>-0.1571428571</v>
      </c>
      <c r="I25" s="7">
        <f t="shared" si="13"/>
        <v>-0.1428571429</v>
      </c>
      <c r="J25" s="7">
        <f t="shared" si="13"/>
        <v>-0.1428571429</v>
      </c>
      <c r="K25" s="7">
        <f t="shared" si="13"/>
        <v>0.5857142857</v>
      </c>
    </row>
    <row r="26">
      <c r="E26" s="7">
        <f>(K20-E25)*-1</f>
        <v>-16.65714286</v>
      </c>
      <c r="F26" s="9">
        <f t="shared" ref="F26:K26" si="14">F25*14</f>
        <v>2.8</v>
      </c>
      <c r="G26" s="9">
        <f t="shared" si="14"/>
        <v>-2</v>
      </c>
      <c r="H26" s="9">
        <f t="shared" si="14"/>
        <v>-2.2</v>
      </c>
      <c r="I26" s="9">
        <f t="shared" si="14"/>
        <v>-2</v>
      </c>
      <c r="J26" s="9">
        <f t="shared" si="14"/>
        <v>-2</v>
      </c>
      <c r="K26" s="9">
        <f t="shared" si="14"/>
        <v>8.2</v>
      </c>
    </row>
    <row r="28">
      <c r="A28" s="8">
        <f>A24+7</f>
        <v>45915</v>
      </c>
      <c r="B28" s="9">
        <f>B24+1</f>
        <v>7</v>
      </c>
      <c r="D28" s="7">
        <f>K24</f>
        <v>16.85714286</v>
      </c>
      <c r="E28" s="7">
        <f>16+9.2/14</f>
        <v>16.65714286</v>
      </c>
      <c r="F28" s="7">
        <f>16+10.2/14</f>
        <v>16.72857143</v>
      </c>
      <c r="G28" s="7">
        <f>16+9.2/14</f>
        <v>16.65714286</v>
      </c>
      <c r="H28" s="7">
        <f>16+10.2/14</f>
        <v>16.72857143</v>
      </c>
      <c r="I28" s="7">
        <f>16+5.8/14</f>
        <v>16.41428571</v>
      </c>
      <c r="J28" s="7">
        <f t="shared" ref="J28:K28" si="15">16+9.2/14</f>
        <v>16.65714286</v>
      </c>
      <c r="K28" s="7">
        <f t="shared" si="15"/>
        <v>16.65714286</v>
      </c>
      <c r="L28" s="7">
        <f>min(E28:K28)</f>
        <v>16.41428571</v>
      </c>
      <c r="M28" s="7">
        <f>MAX(E28:K28)</f>
        <v>16.72857143</v>
      </c>
      <c r="N28" s="7">
        <f>M28-L28</f>
        <v>0.3142857143</v>
      </c>
      <c r="O28" s="7">
        <f>K28-E28</f>
        <v>0</v>
      </c>
      <c r="P28" s="9">
        <f>O28*14</f>
        <v>0</v>
      </c>
      <c r="Q28" s="7">
        <f>'Goals (stn) Part 2'!F23</f>
        <v>16.625</v>
      </c>
      <c r="R28" s="7">
        <f>L28</f>
        <v>16.41428571</v>
      </c>
      <c r="S28" s="7">
        <f>Q28-R28</f>
        <v>0.2107142857</v>
      </c>
      <c r="T28" s="9">
        <f>S28*14</f>
        <v>2.95</v>
      </c>
      <c r="U28" s="7">
        <f>AVERAGE(E28:K28)</f>
        <v>16.64285714</v>
      </c>
      <c r="V28" s="7">
        <f>-1*(U24-U28)</f>
        <v>0.02448979592</v>
      </c>
    </row>
    <row r="29">
      <c r="E29" s="7">
        <f>(K25-E28)*-1</f>
        <v>16.07142857</v>
      </c>
      <c r="F29" s="7">
        <f t="shared" ref="F29:K29" si="16">F28-E28</f>
        <v>0.07142857143</v>
      </c>
      <c r="G29" s="7">
        <f t="shared" si="16"/>
        <v>-0.07142857143</v>
      </c>
      <c r="H29" s="7">
        <f t="shared" si="16"/>
        <v>0.07142857143</v>
      </c>
      <c r="I29" s="7">
        <f t="shared" si="16"/>
        <v>-0.3142857143</v>
      </c>
      <c r="J29" s="7">
        <f t="shared" si="16"/>
        <v>0.2428571429</v>
      </c>
      <c r="K29" s="7">
        <f t="shared" si="16"/>
        <v>0</v>
      </c>
    </row>
    <row r="30">
      <c r="E30" s="7">
        <f>(K24-E29)*-1</f>
        <v>-0.7857142857</v>
      </c>
      <c r="F30" s="9">
        <f t="shared" ref="F30:K30" si="17">F29*14</f>
        <v>1</v>
      </c>
      <c r="G30" s="9">
        <f t="shared" si="17"/>
        <v>-1</v>
      </c>
      <c r="H30" s="9">
        <f t="shared" si="17"/>
        <v>1</v>
      </c>
      <c r="I30" s="9">
        <f t="shared" si="17"/>
        <v>-4.4</v>
      </c>
      <c r="J30" s="9">
        <f t="shared" si="17"/>
        <v>3.4</v>
      </c>
      <c r="K30" s="9">
        <f t="shared" si="17"/>
        <v>0</v>
      </c>
    </row>
    <row r="31">
      <c r="D31" s="6"/>
      <c r="E31" s="6"/>
      <c r="F31" s="6"/>
      <c r="G31" s="6"/>
      <c r="H31" s="6"/>
      <c r="I31" s="6"/>
      <c r="J31" s="6"/>
      <c r="K31" s="6"/>
    </row>
    <row r="32">
      <c r="A32" s="8">
        <f>A28+7</f>
        <v>45922</v>
      </c>
      <c r="B32" s="9">
        <f>B28+1</f>
        <v>8</v>
      </c>
      <c r="D32" s="7">
        <f>K28</f>
        <v>16.65714286</v>
      </c>
      <c r="E32" s="7">
        <f>16+9.2/14</f>
        <v>16.65714286</v>
      </c>
      <c r="F32" s="7">
        <f>16+10.2/14</f>
        <v>16.72857143</v>
      </c>
      <c r="G32" s="7">
        <f>16+9.2/14</f>
        <v>16.65714286</v>
      </c>
      <c r="H32" s="7">
        <f>16+8/14</f>
        <v>16.57142857</v>
      </c>
      <c r="I32" s="7">
        <f>16+5.8/14</f>
        <v>16.41428571</v>
      </c>
      <c r="J32" s="7">
        <f t="shared" ref="J32:K32" si="18">16+9.2/14</f>
        <v>16.65714286</v>
      </c>
      <c r="K32" s="7">
        <f t="shared" si="18"/>
        <v>16.65714286</v>
      </c>
      <c r="L32" s="7">
        <f>min(E32:K32)</f>
        <v>16.41428571</v>
      </c>
      <c r="M32" s="7">
        <f>MAX(E32:K32)</f>
        <v>16.72857143</v>
      </c>
      <c r="N32" s="7">
        <f>M32-L32</f>
        <v>0.3142857143</v>
      </c>
      <c r="O32" s="7">
        <f>K31-E31</f>
        <v>0</v>
      </c>
      <c r="P32" s="9">
        <f>O32*14</f>
        <v>0</v>
      </c>
      <c r="Q32" s="7">
        <f>'Goals (stn) Part 2'!F24</f>
        <v>16.5</v>
      </c>
      <c r="R32" s="7">
        <f>L32</f>
        <v>16.41428571</v>
      </c>
      <c r="S32" s="7">
        <f>Q32-R32</f>
        <v>0.08571428571</v>
      </c>
      <c r="T32" s="9">
        <f>S32*14</f>
        <v>1.2</v>
      </c>
      <c r="U32" s="7">
        <f>AVERAGE(E32:K32)</f>
        <v>16.62040816</v>
      </c>
      <c r="V32" s="7">
        <f>-1*(U28-U32)</f>
        <v>-0.02244897959</v>
      </c>
    </row>
    <row r="33">
      <c r="E33" s="7">
        <f>(K29-E32)*-1</f>
        <v>16.65714286</v>
      </c>
      <c r="F33" s="7">
        <f t="shared" ref="F33:K33" si="19">F32-E32</f>
        <v>0.07142857143</v>
      </c>
      <c r="G33" s="7">
        <f t="shared" si="19"/>
        <v>-0.07142857143</v>
      </c>
      <c r="H33" s="7">
        <f t="shared" si="19"/>
        <v>-0.08571428571</v>
      </c>
      <c r="I33" s="7">
        <f t="shared" si="19"/>
        <v>-0.1571428571</v>
      </c>
      <c r="J33" s="7">
        <f t="shared" si="19"/>
        <v>0.2428571429</v>
      </c>
      <c r="K33" s="7">
        <f t="shared" si="19"/>
        <v>0</v>
      </c>
    </row>
    <row r="34">
      <c r="E34" s="7">
        <f>(K28-E33)*-1</f>
        <v>0</v>
      </c>
      <c r="F34" s="9">
        <f t="shared" ref="F34:K34" si="20">F33*14</f>
        <v>1</v>
      </c>
      <c r="G34" s="9">
        <f t="shared" si="20"/>
        <v>-1</v>
      </c>
      <c r="H34" s="9">
        <f t="shared" si="20"/>
        <v>-1.2</v>
      </c>
      <c r="I34" s="9">
        <f t="shared" si="20"/>
        <v>-2.2</v>
      </c>
      <c r="J34" s="9">
        <f t="shared" si="20"/>
        <v>3.4</v>
      </c>
      <c r="K34" s="9">
        <f t="shared" si="20"/>
        <v>0</v>
      </c>
    </row>
    <row r="35">
      <c r="D35" s="6"/>
      <c r="E35" s="6"/>
      <c r="F35" s="6"/>
      <c r="G35" s="6"/>
      <c r="H35" s="6"/>
      <c r="I35" s="6"/>
      <c r="J35" s="6"/>
      <c r="K35" s="6"/>
    </row>
    <row r="36">
      <c r="A36" s="8">
        <f>A32+7</f>
        <v>45929</v>
      </c>
      <c r="B36" s="9">
        <f>B32+1</f>
        <v>9</v>
      </c>
      <c r="D36" s="7">
        <f>K32</f>
        <v>16.65714286</v>
      </c>
      <c r="E36" s="7">
        <f>16+7.2/14</f>
        <v>16.51428571</v>
      </c>
      <c r="F36" s="7">
        <f>16+3.8/14</f>
        <v>16.27142857</v>
      </c>
      <c r="G36" s="7">
        <f>16+6.8/14</f>
        <v>16.48571429</v>
      </c>
      <c r="H36" s="7">
        <f>16+10.2/14</f>
        <v>16.72857143</v>
      </c>
      <c r="I36" s="7">
        <f>16+5.8/14</f>
        <v>16.41428571</v>
      </c>
      <c r="J36" s="7">
        <f t="shared" ref="J36:K36" si="21">16+9.2/14</f>
        <v>16.65714286</v>
      </c>
      <c r="K36" s="7">
        <f t="shared" si="21"/>
        <v>16.65714286</v>
      </c>
      <c r="L36" s="7">
        <f>min(E36:K36)</f>
        <v>16.27142857</v>
      </c>
      <c r="M36" s="7">
        <f>MAX(E36:K36)</f>
        <v>16.72857143</v>
      </c>
      <c r="N36" s="7">
        <f>M36-L36</f>
        <v>0.4571428571</v>
      </c>
      <c r="O36" s="7">
        <f>K35-E35</f>
        <v>0</v>
      </c>
      <c r="P36" s="9">
        <f>O36*14</f>
        <v>0</v>
      </c>
      <c r="Q36" s="7">
        <f>'Goals (stn) Part 2'!F25</f>
        <v>16.375</v>
      </c>
      <c r="R36" s="7">
        <f>L36</f>
        <v>16.27142857</v>
      </c>
      <c r="S36" s="7">
        <f>Q36-R36</f>
        <v>0.1035714286</v>
      </c>
      <c r="T36" s="9">
        <f>S36*14</f>
        <v>1.45</v>
      </c>
      <c r="U36" s="7">
        <f>AVERAGE(E36:K36)</f>
        <v>16.53265306</v>
      </c>
      <c r="V36" s="7">
        <f>-1*(U32-U36)</f>
        <v>-0.08775510204</v>
      </c>
    </row>
    <row r="37">
      <c r="E37" s="7">
        <f>(K33-E36)*-1</f>
        <v>16.51428571</v>
      </c>
      <c r="F37" s="7">
        <f t="shared" ref="F37:K37" si="22">F36-E36</f>
        <v>-0.2428571429</v>
      </c>
      <c r="G37" s="7">
        <f t="shared" si="22"/>
        <v>0.2142857143</v>
      </c>
      <c r="H37" s="7">
        <f t="shared" si="22"/>
        <v>0.2428571429</v>
      </c>
      <c r="I37" s="7">
        <f t="shared" si="22"/>
        <v>-0.3142857143</v>
      </c>
      <c r="J37" s="7">
        <f t="shared" si="22"/>
        <v>0.2428571429</v>
      </c>
      <c r="K37" s="7">
        <f t="shared" si="22"/>
        <v>0</v>
      </c>
    </row>
    <row r="38">
      <c r="E38" s="7">
        <f>(K32-E37)*-1</f>
        <v>-0.1428571429</v>
      </c>
      <c r="F38" s="9">
        <f t="shared" ref="F38:K38" si="23">F37*14</f>
        <v>-3.4</v>
      </c>
      <c r="G38" s="9">
        <f t="shared" si="23"/>
        <v>3</v>
      </c>
      <c r="H38" s="9">
        <f t="shared" si="23"/>
        <v>3.4</v>
      </c>
      <c r="I38" s="9">
        <f t="shared" si="23"/>
        <v>-4.4</v>
      </c>
      <c r="J38" s="9">
        <f t="shared" si="23"/>
        <v>3.4</v>
      </c>
      <c r="K38" s="9">
        <f t="shared" si="23"/>
        <v>0</v>
      </c>
    </row>
    <row r="39">
      <c r="D39" s="6"/>
      <c r="E39" s="6"/>
      <c r="F39" s="6"/>
      <c r="G39" s="6"/>
      <c r="H39" s="6"/>
      <c r="I39" s="6"/>
      <c r="J39" s="6"/>
      <c r="K39" s="6"/>
      <c r="Q39" s="7"/>
    </row>
    <row r="40">
      <c r="E40" s="7"/>
      <c r="S40" s="7"/>
      <c r="U40" s="7"/>
      <c r="V40" s="7"/>
    </row>
    <row r="41">
      <c r="E41" s="7"/>
    </row>
    <row r="43">
      <c r="D43" s="6"/>
      <c r="E43" s="6"/>
      <c r="F43" s="6"/>
      <c r="G43" s="6"/>
      <c r="H43" s="6"/>
      <c r="I43" s="6"/>
      <c r="J43" s="6"/>
      <c r="K43" s="6"/>
    </row>
    <row r="44">
      <c r="E44" s="7"/>
      <c r="S44" s="7"/>
      <c r="U44" s="7"/>
      <c r="V44" s="7"/>
    </row>
    <row r="45">
      <c r="E45" s="7"/>
    </row>
    <row r="47">
      <c r="D47" s="6"/>
      <c r="E47" s="6"/>
      <c r="F47" s="6"/>
      <c r="G47" s="6"/>
      <c r="H47" s="6"/>
      <c r="I47" s="6"/>
      <c r="J47" s="6"/>
      <c r="K47" s="6"/>
    </row>
    <row r="48">
      <c r="E48" s="7"/>
      <c r="S48" s="7"/>
      <c r="U48" s="7"/>
    </row>
    <row r="49">
      <c r="E49" s="7"/>
    </row>
    <row r="52">
      <c r="D52" s="6"/>
      <c r="E52" s="14"/>
      <c r="F52" s="14"/>
      <c r="G52" s="14"/>
      <c r="H52" s="14"/>
      <c r="I52" s="14"/>
      <c r="J52" s="14"/>
      <c r="K52" s="14"/>
      <c r="S52" s="7"/>
      <c r="U52" s="7"/>
    </row>
    <row r="53">
      <c r="E53" s="7"/>
    </row>
    <row r="54">
      <c r="E54" s="7"/>
    </row>
    <row r="56">
      <c r="D56" s="6"/>
      <c r="E56" s="15"/>
      <c r="F56" s="15"/>
      <c r="G56" s="15"/>
      <c r="H56" s="15"/>
      <c r="I56" s="15"/>
      <c r="J56" s="15"/>
      <c r="K56" s="15"/>
      <c r="S56" s="7"/>
      <c r="U56" s="7"/>
    </row>
    <row r="57">
      <c r="E57" s="7"/>
    </row>
    <row r="58">
      <c r="E58" s="7"/>
    </row>
    <row r="60">
      <c r="D60" s="6"/>
      <c r="E60" s="14"/>
      <c r="F60" s="14"/>
      <c r="G60" s="14"/>
      <c r="H60" s="14"/>
      <c r="I60" s="14"/>
      <c r="J60" s="14"/>
      <c r="K60" s="14"/>
    </row>
    <row r="61">
      <c r="E61" s="7"/>
    </row>
    <row r="62">
      <c r="E62" s="7"/>
    </row>
    <row r="64">
      <c r="D64" s="6"/>
      <c r="E64" s="14"/>
      <c r="F64" s="14"/>
      <c r="G64" s="14"/>
      <c r="H64" s="14"/>
      <c r="I64" s="14"/>
      <c r="J64" s="14"/>
      <c r="K64" s="14"/>
    </row>
    <row r="65">
      <c r="E65" s="7"/>
    </row>
    <row r="66">
      <c r="E66" s="7"/>
    </row>
    <row r="68">
      <c r="D68" s="6"/>
      <c r="E68" s="14"/>
      <c r="F68" s="14"/>
      <c r="G68" s="14"/>
      <c r="H68" s="14"/>
      <c r="I68" s="14"/>
      <c r="J68" s="14"/>
      <c r="K68" s="14"/>
    </row>
    <row r="69">
      <c r="E69" s="7"/>
    </row>
    <row r="70">
      <c r="E70" s="7"/>
    </row>
    <row r="72">
      <c r="A72" s="9">
        <f>A68+7</f>
        <v>7</v>
      </c>
      <c r="B72" s="9">
        <f>B68+1</f>
        <v>1</v>
      </c>
      <c r="D72" s="6" t="str">
        <f>K68</f>
        <v/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0.0</v>
      </c>
      <c r="K72" s="14">
        <v>0.0</v>
      </c>
      <c r="L72" s="7">
        <f>min(E72:K72)</f>
        <v>0</v>
      </c>
      <c r="M72" s="7">
        <f>MAX(E72:K72)</f>
        <v>0</v>
      </c>
      <c r="N72" s="7">
        <f>M72-L72</f>
        <v>0</v>
      </c>
      <c r="O72" s="7">
        <f>K72-E72</f>
        <v>0</v>
      </c>
      <c r="P72" s="9">
        <f>O72*14</f>
        <v>0</v>
      </c>
    </row>
    <row r="73">
      <c r="D73" s="9">
        <f>D72*14</f>
        <v>0</v>
      </c>
      <c r="E73" s="7">
        <f>E72-K68</f>
        <v>0</v>
      </c>
      <c r="F73" s="7">
        <f t="shared" ref="F73:K73" si="24">F72-E72</f>
        <v>0</v>
      </c>
      <c r="G73" s="7">
        <f t="shared" si="24"/>
        <v>0</v>
      </c>
      <c r="H73" s="7">
        <f t="shared" si="24"/>
        <v>0</v>
      </c>
      <c r="I73" s="7">
        <f t="shared" si="24"/>
        <v>0</v>
      </c>
      <c r="J73" s="7">
        <f t="shared" si="24"/>
        <v>0</v>
      </c>
      <c r="K73" s="7">
        <f t="shared" si="24"/>
        <v>0</v>
      </c>
    </row>
    <row r="74">
      <c r="E74" s="7">
        <f>(K69-E73)*-1</f>
        <v>0</v>
      </c>
      <c r="F74" s="9">
        <f t="shared" ref="F74:K74" si="25">F73*14</f>
        <v>0</v>
      </c>
      <c r="G74" s="9">
        <f t="shared" si="25"/>
        <v>0</v>
      </c>
      <c r="H74" s="9">
        <f t="shared" si="25"/>
        <v>0</v>
      </c>
      <c r="I74" s="9">
        <f t="shared" si="25"/>
        <v>0</v>
      </c>
      <c r="J74" s="9">
        <f t="shared" si="25"/>
        <v>0</v>
      </c>
      <c r="K74" s="9">
        <f t="shared" si="25"/>
        <v>0</v>
      </c>
    </row>
    <row r="76">
      <c r="A76" s="9">
        <f>A72+7</f>
        <v>14</v>
      </c>
      <c r="B76" s="9">
        <f>B72+1</f>
        <v>2</v>
      </c>
      <c r="D76" s="6">
        <f>K72</f>
        <v>0</v>
      </c>
      <c r="E76" s="14">
        <v>0.0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  <c r="K76" s="14">
        <v>0.0</v>
      </c>
      <c r="L76" s="7">
        <f>min(E76:K76)</f>
        <v>0</v>
      </c>
      <c r="M76" s="7">
        <f>MAX(E76:K76)</f>
        <v>0</v>
      </c>
      <c r="N76" s="7">
        <f>M76-L76</f>
        <v>0</v>
      </c>
      <c r="O76" s="7">
        <f>K76-E76</f>
        <v>0</v>
      </c>
      <c r="P76" s="9">
        <f>O76*14</f>
        <v>0</v>
      </c>
    </row>
    <row r="77">
      <c r="D77" s="9">
        <f>D76*14</f>
        <v>0</v>
      </c>
      <c r="E77" s="7">
        <f>E76-K72</f>
        <v>0</v>
      </c>
      <c r="F77" s="7">
        <f t="shared" ref="F77:K77" si="26">F76-E76</f>
        <v>0</v>
      </c>
      <c r="G77" s="7">
        <f t="shared" si="26"/>
        <v>0</v>
      </c>
      <c r="H77" s="7">
        <f t="shared" si="26"/>
        <v>0</v>
      </c>
      <c r="I77" s="7">
        <f t="shared" si="26"/>
        <v>0</v>
      </c>
      <c r="J77" s="7">
        <f t="shared" si="26"/>
        <v>0</v>
      </c>
      <c r="K77" s="7">
        <f t="shared" si="26"/>
        <v>0</v>
      </c>
    </row>
    <row r="78">
      <c r="E78" s="7">
        <f>(K73-E77)*-1</f>
        <v>0</v>
      </c>
      <c r="F78" s="9">
        <f t="shared" ref="F78:K78" si="27">F77*14</f>
        <v>0</v>
      </c>
      <c r="G78" s="9">
        <f t="shared" si="27"/>
        <v>0</v>
      </c>
      <c r="H78" s="9">
        <f t="shared" si="27"/>
        <v>0</v>
      </c>
      <c r="I78" s="9">
        <f t="shared" si="27"/>
        <v>0</v>
      </c>
      <c r="J78" s="9">
        <f t="shared" si="27"/>
        <v>0</v>
      </c>
      <c r="K78" s="9">
        <f t="shared" si="27"/>
        <v>0</v>
      </c>
      <c r="L78" s="7">
        <f>average($L$4:L76)</f>
        <v>13.41558442</v>
      </c>
      <c r="M78" s="9">
        <f>average($M$4:M76)</f>
        <v>13.77792208</v>
      </c>
    </row>
  </sheetData>
  <conditionalFormatting sqref="O4 O8 O12 O16 O20 O24 O28 O32 O36 O40 O44 O48 O52 O56 O60 O64 O68 O72 O76">
    <cfRule type="cellIs" dxfId="0" priority="1" operator="greaterThan">
      <formula>0</formula>
    </cfRule>
  </conditionalFormatting>
  <conditionalFormatting sqref="O4 O8 O12 O16 O20 O24 O28 O32 O36 O40 O44 O48 O52 O56 O60 O64 O68 O72 O76">
    <cfRule type="cellIs" dxfId="1" priority="2" operator="lessThan">
      <formula>0</formula>
    </cfRule>
  </conditionalFormatting>
  <conditionalFormatting sqref="O24 O28">
    <cfRule type="notContainsBlanks" dxfId="2" priority="3">
      <formula>LEN(TRIM(O24))&gt;0</formula>
    </cfRule>
  </conditionalFormatting>
  <conditionalFormatting sqref="S4 S8 S12 S16 S20 S24 S28 S32 S36 S40 S44 S48 S52 S56">
    <cfRule type="cellIs" dxfId="3" priority="4" operator="greaterThan">
      <formula>0</formula>
    </cfRule>
  </conditionalFormatting>
  <conditionalFormatting sqref="S4 S8 S12 S16 S20 S24 S28 S32 S36 S40 S44 S48 S52 S56">
    <cfRule type="cellIs" dxfId="3" priority="5" operator="greaterThan">
      <formula>0</formula>
    </cfRule>
  </conditionalFormatting>
  <conditionalFormatting sqref="S4 S8 S12 S16 S20 S24 S28 S32 S36 S40 S44 S48 S52 S56">
    <cfRule type="cellIs" dxfId="4" priority="6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3.38"/>
    <col customWidth="1" min="14" max="14" width="13.25"/>
    <col customWidth="1" min="15" max="15" width="16.63"/>
    <col customWidth="1" min="16" max="16" width="16.25"/>
    <col customWidth="1" min="19" max="19" width="17.5"/>
  </cols>
  <sheetData>
    <row r="1">
      <c r="B1" s="1" t="s">
        <v>1</v>
      </c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>
      <c r="C2" s="1" t="s">
        <v>32</v>
      </c>
      <c r="D2" s="1" t="s">
        <v>14</v>
      </c>
      <c r="E2" s="4" t="s">
        <v>15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22</v>
      </c>
      <c r="K2" s="4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23</v>
      </c>
      <c r="S2" s="1" t="s">
        <v>29</v>
      </c>
      <c r="T2" s="1" t="s">
        <v>30</v>
      </c>
      <c r="U2" s="1" t="s">
        <v>31</v>
      </c>
    </row>
    <row r="3">
      <c r="H3" s="7"/>
      <c r="P3" s="1"/>
      <c r="R3" s="6"/>
      <c r="U3" s="7"/>
    </row>
    <row r="4">
      <c r="A4" s="8">
        <v>45901.0</v>
      </c>
      <c r="B4" s="1">
        <v>1.0</v>
      </c>
      <c r="C4" s="1">
        <v>4.0</v>
      </c>
      <c r="D4" s="1">
        <v>17.0</v>
      </c>
      <c r="E4" s="6">
        <f>16+12/14</f>
        <v>16.85714286</v>
      </c>
      <c r="F4" s="7">
        <f>16+11/14</f>
        <v>16.78571429</v>
      </c>
      <c r="G4" s="7">
        <f>+16+5.3/14</f>
        <v>16.37857143</v>
      </c>
      <c r="H4" s="7">
        <f>+16+2.5/14</f>
        <v>16.17857143</v>
      </c>
      <c r="I4" s="7">
        <f>+16+5.8/14</f>
        <v>16.41428571</v>
      </c>
      <c r="J4" s="7">
        <f>+16+5/14</f>
        <v>16.35714286</v>
      </c>
      <c r="K4" s="7">
        <f>+16+8.8/14</f>
        <v>16.62857143</v>
      </c>
      <c r="L4" s="7">
        <f>min(E4:K4)</f>
        <v>16.17857143</v>
      </c>
      <c r="M4" s="7">
        <f>MAX(E4:K4)</f>
        <v>16.85714286</v>
      </c>
      <c r="N4" s="7">
        <f>M4-L4</f>
        <v>0.6785714286</v>
      </c>
      <c r="O4" s="7">
        <f>K4-E4</f>
        <v>-0.2285714286</v>
      </c>
      <c r="P4" s="9">
        <f>O4*14</f>
        <v>-3.2</v>
      </c>
      <c r="Q4" s="7">
        <f>'Goals (stn) Part 2'!F21</f>
        <v>16.875</v>
      </c>
      <c r="R4" s="7">
        <f>L4</f>
        <v>16.17857143</v>
      </c>
      <c r="S4" s="7">
        <f>Q4-R4</f>
        <v>0.6964285714</v>
      </c>
      <c r="T4" s="9">
        <f>S4*14</f>
        <v>9.75</v>
      </c>
      <c r="U4" s="7">
        <f>AVERAGE(E4:K4)</f>
        <v>16.51428571</v>
      </c>
      <c r="V4" s="7"/>
    </row>
    <row r="5">
      <c r="E5" s="7">
        <f t="shared" ref="E5:K5" si="1">E4-D4</f>
        <v>-0.1428571429</v>
      </c>
      <c r="F5" s="7">
        <f t="shared" si="1"/>
        <v>-0.07142857143</v>
      </c>
      <c r="G5" s="7">
        <f t="shared" si="1"/>
        <v>-0.4071428571</v>
      </c>
      <c r="H5" s="7">
        <f t="shared" si="1"/>
        <v>-0.2</v>
      </c>
      <c r="I5" s="7">
        <f t="shared" si="1"/>
        <v>0.2357142857</v>
      </c>
      <c r="J5" s="7">
        <f t="shared" si="1"/>
        <v>-0.05714285714</v>
      </c>
      <c r="K5" s="7">
        <f t="shared" si="1"/>
        <v>0.2714285714</v>
      </c>
    </row>
    <row r="6">
      <c r="E6" s="9">
        <f t="shared" ref="E6:K6" si="2">E5*14</f>
        <v>-2</v>
      </c>
      <c r="F6" s="9">
        <f t="shared" si="2"/>
        <v>-1</v>
      </c>
      <c r="G6" s="9">
        <f t="shared" si="2"/>
        <v>-5.7</v>
      </c>
      <c r="H6" s="9">
        <f t="shared" si="2"/>
        <v>-2.8</v>
      </c>
      <c r="I6" s="9">
        <f t="shared" si="2"/>
        <v>3.3</v>
      </c>
      <c r="J6" s="9">
        <f t="shared" si="2"/>
        <v>-0.8</v>
      </c>
      <c r="K6" s="9">
        <f t="shared" si="2"/>
        <v>3.8</v>
      </c>
    </row>
    <row r="8">
      <c r="A8" s="8">
        <v>45908.0</v>
      </c>
      <c r="B8" s="9">
        <f>B4+1</f>
        <v>2</v>
      </c>
      <c r="C8" s="1">
        <v>3.0</v>
      </c>
      <c r="D8" s="6">
        <f>K4</f>
        <v>16.62857143</v>
      </c>
      <c r="E8" s="7">
        <f>16+8/14</f>
        <v>16.57142857</v>
      </c>
      <c r="F8" s="7">
        <f>16+2.4/14</f>
        <v>16.17142857</v>
      </c>
      <c r="G8" s="7">
        <f>16+4/14</f>
        <v>16.28571429</v>
      </c>
      <c r="H8" s="7">
        <f>16+1.2/14</f>
        <v>16.08571429</v>
      </c>
      <c r="I8" s="7">
        <f>16+2/14</f>
        <v>16.14285714</v>
      </c>
      <c r="J8" s="7">
        <f>15+13.8/14</f>
        <v>15.98571429</v>
      </c>
      <c r="K8" s="7">
        <f>16+4/14</f>
        <v>16.28571429</v>
      </c>
      <c r="L8" s="7">
        <f>min(E8:K8)</f>
        <v>15.98571429</v>
      </c>
      <c r="M8" s="7">
        <f>MAX(E8:K8)</f>
        <v>16.57142857</v>
      </c>
      <c r="N8" s="7">
        <f>M8-L8</f>
        <v>0.5857142857</v>
      </c>
      <c r="O8" s="7">
        <f>K8-E8</f>
        <v>-0.2857142857</v>
      </c>
      <c r="P8" s="9">
        <f>O8*14</f>
        <v>-4</v>
      </c>
      <c r="Q8" s="7">
        <f>'Goals (stn) Part 2'!F22</f>
        <v>16.75</v>
      </c>
      <c r="R8" s="7">
        <f>L8</f>
        <v>15.98571429</v>
      </c>
      <c r="S8" s="7">
        <f>Q8-R8</f>
        <v>0.7642857143</v>
      </c>
      <c r="T8" s="9">
        <f>S8*14</f>
        <v>10.7</v>
      </c>
      <c r="U8" s="7">
        <f>AVERAGE(E8:K8)</f>
        <v>16.21836735</v>
      </c>
      <c r="V8" s="7">
        <f>-1*(U4-U8)</f>
        <v>-0.2959183673</v>
      </c>
      <c r="W8" s="7">
        <f>V8*14</f>
        <v>-4.142857143</v>
      </c>
    </row>
    <row r="9">
      <c r="E9" s="7">
        <f t="shared" ref="E9:K9" si="3">E8-D8</f>
        <v>-0.05714285714</v>
      </c>
      <c r="F9" s="7">
        <f t="shared" si="3"/>
        <v>-0.4</v>
      </c>
      <c r="G9" s="7">
        <f t="shared" si="3"/>
        <v>0.1142857143</v>
      </c>
      <c r="H9" s="7">
        <f t="shared" si="3"/>
        <v>-0.2</v>
      </c>
      <c r="I9" s="7">
        <f t="shared" si="3"/>
        <v>0.05714285714</v>
      </c>
      <c r="J9" s="7">
        <f t="shared" si="3"/>
        <v>-0.1571428571</v>
      </c>
      <c r="K9" s="7">
        <f t="shared" si="3"/>
        <v>0.3</v>
      </c>
    </row>
    <row r="10">
      <c r="E10" s="9">
        <f t="shared" ref="E10:K10" si="4">E9*14</f>
        <v>-0.8</v>
      </c>
      <c r="F10" s="9">
        <f t="shared" si="4"/>
        <v>-5.6</v>
      </c>
      <c r="G10" s="9">
        <f t="shared" si="4"/>
        <v>1.6</v>
      </c>
      <c r="H10" s="9">
        <f t="shared" si="4"/>
        <v>-2.8</v>
      </c>
      <c r="I10" s="9">
        <f t="shared" si="4"/>
        <v>0.8</v>
      </c>
      <c r="J10" s="9">
        <f t="shared" si="4"/>
        <v>-2.2</v>
      </c>
      <c r="K10" s="9">
        <f t="shared" si="4"/>
        <v>4.2</v>
      </c>
    </row>
    <row r="12">
      <c r="A12" s="8">
        <v>45915.0</v>
      </c>
      <c r="B12" s="9">
        <f>B8+1</f>
        <v>3</v>
      </c>
      <c r="C12" s="1">
        <v>4.0</v>
      </c>
      <c r="D12" s="7">
        <f>K8</f>
        <v>16.28571429</v>
      </c>
      <c r="E12" s="7">
        <f>16+4.8/14</f>
        <v>16.34285714</v>
      </c>
      <c r="F12" s="7">
        <f>16+1.2/14</f>
        <v>16.08571429</v>
      </c>
      <c r="G12" s="7">
        <f>15+11.6/14</f>
        <v>15.82857143</v>
      </c>
      <c r="H12" s="6">
        <v>16.0</v>
      </c>
      <c r="I12" s="7">
        <f>15+9.6/14</f>
        <v>15.68571429</v>
      </c>
      <c r="J12" s="7">
        <f>15+9/14</f>
        <v>15.64285714</v>
      </c>
      <c r="K12" s="7">
        <f>15+9.6/14</f>
        <v>15.68571429</v>
      </c>
      <c r="L12" s="7">
        <f>min(E12:K12)</f>
        <v>15.64285714</v>
      </c>
      <c r="M12" s="7">
        <f>MAX(E12:K12)</f>
        <v>16.34285714</v>
      </c>
      <c r="N12" s="7">
        <f>M12-L12</f>
        <v>0.7</v>
      </c>
      <c r="O12" s="7">
        <f>K12-E12</f>
        <v>-0.6571428571</v>
      </c>
      <c r="P12" s="9">
        <f>O12*14</f>
        <v>-9.2</v>
      </c>
      <c r="Q12" s="7">
        <f>'Goals (stn) Part 2'!F23</f>
        <v>16.625</v>
      </c>
      <c r="R12" s="7">
        <f>L12</f>
        <v>15.64285714</v>
      </c>
      <c r="S12" s="7">
        <f>Q12-R12</f>
        <v>0.9821428571</v>
      </c>
      <c r="T12" s="9">
        <f>S12*14</f>
        <v>13.75</v>
      </c>
      <c r="U12" s="7">
        <f>AVERAGE(E12:K12)</f>
        <v>15.89591837</v>
      </c>
      <c r="V12" s="7">
        <f>-1*(U8-U12)</f>
        <v>-0.3224489796</v>
      </c>
      <c r="W12" s="7">
        <f>V12*14</f>
        <v>-4.514285714</v>
      </c>
    </row>
    <row r="13">
      <c r="E13" s="7">
        <f t="shared" ref="E13:K13" si="5">E12-D12</f>
        <v>0.05714285714</v>
      </c>
      <c r="F13" s="7">
        <f t="shared" si="5"/>
        <v>-0.2571428571</v>
      </c>
      <c r="G13" s="7">
        <f t="shared" si="5"/>
        <v>-0.2571428571</v>
      </c>
      <c r="H13" s="7">
        <f t="shared" si="5"/>
        <v>0.1714285714</v>
      </c>
      <c r="I13" s="7">
        <f t="shared" si="5"/>
        <v>-0.3142857143</v>
      </c>
      <c r="J13" s="7">
        <f t="shared" si="5"/>
        <v>-0.04285714286</v>
      </c>
      <c r="K13" s="7">
        <f t="shared" si="5"/>
        <v>0.04285714286</v>
      </c>
    </row>
    <row r="14">
      <c r="E14" s="9">
        <f t="shared" ref="E14:K14" si="6">E13*14</f>
        <v>0.8</v>
      </c>
      <c r="F14" s="9">
        <f t="shared" si="6"/>
        <v>-3.6</v>
      </c>
      <c r="G14" s="9">
        <f t="shared" si="6"/>
        <v>-3.6</v>
      </c>
      <c r="H14" s="9">
        <f t="shared" si="6"/>
        <v>2.4</v>
      </c>
      <c r="I14" s="9">
        <f t="shared" si="6"/>
        <v>-4.4</v>
      </c>
      <c r="J14" s="9">
        <f t="shared" si="6"/>
        <v>-0.6</v>
      </c>
      <c r="K14" s="9">
        <f t="shared" si="6"/>
        <v>0.6</v>
      </c>
    </row>
    <row r="15">
      <c r="D15" s="6"/>
      <c r="E15" s="6"/>
      <c r="F15" s="6"/>
      <c r="G15" s="6"/>
      <c r="H15" s="6"/>
      <c r="I15" s="6"/>
      <c r="J15" s="6"/>
      <c r="K15" s="6"/>
    </row>
    <row r="16">
      <c r="A16" s="8">
        <v>45922.0</v>
      </c>
      <c r="B16" s="9">
        <f>B12+1</f>
        <v>4</v>
      </c>
      <c r="C16" s="1">
        <v>3.0</v>
      </c>
      <c r="D16" s="7">
        <f>K12</f>
        <v>15.68571429</v>
      </c>
      <c r="E16" s="7">
        <f>15 +12.8/14</f>
        <v>15.91428571</v>
      </c>
      <c r="F16" s="7">
        <f>15 +13/14</f>
        <v>15.92857143</v>
      </c>
      <c r="G16" s="7">
        <f>15 +8.8/14</f>
        <v>15.62857143</v>
      </c>
      <c r="H16" s="7">
        <f>15 +5.4/14</f>
        <v>15.38571429</v>
      </c>
      <c r="I16" s="7">
        <f>15 +4/14</f>
        <v>15.28571429</v>
      </c>
      <c r="J16" s="7">
        <f t="shared" ref="J16:K16" si="7">15 +7/14</f>
        <v>15.5</v>
      </c>
      <c r="K16" s="7">
        <f t="shared" si="7"/>
        <v>15.5</v>
      </c>
      <c r="L16" s="7">
        <f>min(E16:K16)</f>
        <v>15.28571429</v>
      </c>
      <c r="M16" s="7">
        <f>MAX(E16:K16)</f>
        <v>15.92857143</v>
      </c>
      <c r="N16" s="7">
        <f>M16-L16</f>
        <v>0.6428571429</v>
      </c>
      <c r="O16" s="7">
        <f>K16-E16</f>
        <v>-0.4142857143</v>
      </c>
      <c r="P16" s="9">
        <f>O16*14</f>
        <v>-5.8</v>
      </c>
      <c r="Q16" s="7">
        <f>'Goals (stn) Part 2'!F24</f>
        <v>16.5</v>
      </c>
      <c r="R16" s="7">
        <f>L16</f>
        <v>15.28571429</v>
      </c>
      <c r="S16" s="7">
        <f>Q16-R16</f>
        <v>1.214285714</v>
      </c>
      <c r="T16" s="9">
        <f>S16*14</f>
        <v>17</v>
      </c>
      <c r="U16" s="7">
        <f>AVERAGE(E16:K16)</f>
        <v>15.59183673</v>
      </c>
      <c r="V16" s="7">
        <f>-1*(U12-U16)</f>
        <v>-0.3040816327</v>
      </c>
      <c r="W16" s="7">
        <f>V16*14</f>
        <v>-4.257142857</v>
      </c>
    </row>
    <row r="17">
      <c r="E17" s="7">
        <f t="shared" ref="E17:K17" si="8">E16-D16</f>
        <v>0.2285714286</v>
      </c>
      <c r="F17" s="7">
        <f t="shared" si="8"/>
        <v>0.01428571429</v>
      </c>
      <c r="G17" s="7">
        <f t="shared" si="8"/>
        <v>-0.3</v>
      </c>
      <c r="H17" s="7">
        <f t="shared" si="8"/>
        <v>-0.2428571429</v>
      </c>
      <c r="I17" s="7">
        <f t="shared" si="8"/>
        <v>-0.1</v>
      </c>
      <c r="J17" s="7">
        <f t="shared" si="8"/>
        <v>0.2142857143</v>
      </c>
      <c r="K17" s="7">
        <f t="shared" si="8"/>
        <v>0</v>
      </c>
    </row>
    <row r="18">
      <c r="E18" s="9">
        <f t="shared" ref="E18:K18" si="9">E17*14</f>
        <v>3.2</v>
      </c>
      <c r="F18" s="9">
        <f t="shared" si="9"/>
        <v>0.2</v>
      </c>
      <c r="G18" s="9">
        <f t="shared" si="9"/>
        <v>-4.2</v>
      </c>
      <c r="H18" s="9">
        <f t="shared" si="9"/>
        <v>-3.4</v>
      </c>
      <c r="I18" s="9">
        <f t="shared" si="9"/>
        <v>-1.4</v>
      </c>
      <c r="J18" s="9">
        <f t="shared" si="9"/>
        <v>3</v>
      </c>
      <c r="K18" s="9">
        <f t="shared" si="9"/>
        <v>0</v>
      </c>
    </row>
    <row r="19">
      <c r="D19" s="6"/>
      <c r="E19" s="6"/>
      <c r="F19" s="6"/>
      <c r="G19" s="6"/>
      <c r="H19" s="6"/>
      <c r="I19" s="6"/>
      <c r="J19" s="6"/>
      <c r="K19" s="6"/>
    </row>
    <row r="20">
      <c r="A20" s="8">
        <v>45929.0</v>
      </c>
      <c r="B20" s="9">
        <f>B16+1</f>
        <v>5</v>
      </c>
      <c r="C20" s="1">
        <v>2.0</v>
      </c>
      <c r="D20" s="7">
        <f>K16</f>
        <v>15.5</v>
      </c>
      <c r="E20" s="7">
        <f>16+7/14</f>
        <v>16.5</v>
      </c>
      <c r="F20" s="7">
        <f>16+3.4/14</f>
        <v>16.24285714</v>
      </c>
      <c r="G20" s="7">
        <f>15+11/14</f>
        <v>15.78571429</v>
      </c>
      <c r="H20" s="7">
        <f>15+12/14</f>
        <v>15.85714286</v>
      </c>
      <c r="I20" s="7">
        <f>15+11/14</f>
        <v>15.78571429</v>
      </c>
      <c r="J20" s="7">
        <f>15+13.8/14</f>
        <v>15.98571429</v>
      </c>
      <c r="K20" s="7">
        <f>+16+2/14</f>
        <v>16.14285714</v>
      </c>
      <c r="L20" s="7">
        <f>min(E20:K20)</f>
        <v>15.78571429</v>
      </c>
      <c r="M20" s="7">
        <f>MAX(E20:K20)</f>
        <v>16.5</v>
      </c>
      <c r="N20" s="7">
        <f>M20-L20</f>
        <v>0.7142857143</v>
      </c>
      <c r="O20" s="7">
        <f>K20-E20</f>
        <v>-0.3571428571</v>
      </c>
      <c r="P20" s="9">
        <f>O20*14</f>
        <v>-5</v>
      </c>
      <c r="Q20" s="7">
        <f>'Goals (stn) Part 2'!F25</f>
        <v>16.375</v>
      </c>
      <c r="R20" s="7">
        <f>L20</f>
        <v>15.78571429</v>
      </c>
      <c r="S20" s="7">
        <f>Q20-R20</f>
        <v>0.5892857143</v>
      </c>
      <c r="T20" s="9">
        <f>S20*14</f>
        <v>8.25</v>
      </c>
      <c r="U20" s="7">
        <f>AVERAGE(E20:K20)</f>
        <v>16.04285714</v>
      </c>
      <c r="V20" s="7">
        <f>-1*(U16-U20)</f>
        <v>0.4510204082</v>
      </c>
      <c r="W20" s="7">
        <f>V20*14</f>
        <v>6.314285714</v>
      </c>
    </row>
    <row r="21">
      <c r="E21" s="7">
        <f t="shared" ref="E21:K21" si="10">E20-D20</f>
        <v>1</v>
      </c>
      <c r="F21" s="7">
        <f t="shared" si="10"/>
        <v>-0.2571428571</v>
      </c>
      <c r="G21" s="7">
        <f t="shared" si="10"/>
        <v>-0.4571428571</v>
      </c>
      <c r="H21" s="7">
        <f t="shared" si="10"/>
        <v>0.07142857143</v>
      </c>
      <c r="I21" s="7">
        <f t="shared" si="10"/>
        <v>-0.07142857143</v>
      </c>
      <c r="J21" s="7">
        <f t="shared" si="10"/>
        <v>0.2</v>
      </c>
      <c r="K21" s="7">
        <f t="shared" si="10"/>
        <v>0.1571428571</v>
      </c>
    </row>
    <row r="22">
      <c r="E22" s="9">
        <f t="shared" ref="E22:K22" si="11">E21*14</f>
        <v>14</v>
      </c>
      <c r="F22" s="9">
        <f t="shared" si="11"/>
        <v>-3.6</v>
      </c>
      <c r="G22" s="9">
        <f t="shared" si="11"/>
        <v>-6.4</v>
      </c>
      <c r="H22" s="9">
        <f t="shared" si="11"/>
        <v>1</v>
      </c>
      <c r="I22" s="9">
        <f t="shared" si="11"/>
        <v>-1</v>
      </c>
      <c r="J22" s="9">
        <f t="shared" si="11"/>
        <v>2.8</v>
      </c>
      <c r="K22" s="9">
        <f t="shared" si="11"/>
        <v>2.2</v>
      </c>
    </row>
    <row r="23">
      <c r="A23" s="1" t="s">
        <v>33</v>
      </c>
      <c r="C23" s="9">
        <f>sum(C4:C20)</f>
        <v>16</v>
      </c>
      <c r="D23" s="6"/>
      <c r="E23" s="6"/>
      <c r="F23" s="6"/>
      <c r="G23" s="6"/>
      <c r="H23" s="6"/>
      <c r="I23" s="6"/>
      <c r="J23" s="6"/>
      <c r="K23" s="6"/>
      <c r="Q23" s="7"/>
    </row>
    <row r="24">
      <c r="E24" s="7"/>
      <c r="S24" s="7"/>
      <c r="U24" s="7"/>
      <c r="V24" s="7"/>
    </row>
    <row r="25">
      <c r="E25" s="7"/>
    </row>
    <row r="27">
      <c r="D27" s="6"/>
      <c r="E27" s="6"/>
      <c r="F27" s="6"/>
      <c r="G27" s="6"/>
      <c r="H27" s="6"/>
      <c r="I27" s="6"/>
      <c r="J27" s="6"/>
      <c r="K27" s="6"/>
    </row>
    <row r="28">
      <c r="E28" s="7"/>
      <c r="S28" s="7"/>
      <c r="U28" s="7"/>
      <c r="V28" s="7"/>
    </row>
    <row r="29">
      <c r="E29" s="7"/>
    </row>
    <row r="31">
      <c r="D31" s="6"/>
      <c r="E31" s="6"/>
      <c r="F31" s="6"/>
      <c r="G31" s="6"/>
      <c r="H31" s="6"/>
      <c r="I31" s="6"/>
      <c r="J31" s="6"/>
      <c r="K31" s="6"/>
    </row>
    <row r="32">
      <c r="E32" s="7"/>
      <c r="S32" s="7"/>
      <c r="U32" s="7"/>
    </row>
    <row r="33">
      <c r="E33" s="7"/>
    </row>
    <row r="36">
      <c r="D36" s="6"/>
      <c r="E36" s="14"/>
      <c r="F36" s="14"/>
      <c r="G36" s="14"/>
      <c r="H36" s="14"/>
      <c r="I36" s="14"/>
      <c r="J36" s="14"/>
      <c r="K36" s="14"/>
      <c r="S36" s="7"/>
      <c r="U36" s="7"/>
    </row>
    <row r="37">
      <c r="E37" s="7"/>
    </row>
    <row r="38">
      <c r="E38" s="7"/>
    </row>
    <row r="40">
      <c r="D40" s="6"/>
      <c r="E40" s="15"/>
      <c r="F40" s="15"/>
      <c r="G40" s="15"/>
      <c r="H40" s="15"/>
      <c r="I40" s="15"/>
      <c r="J40" s="15"/>
      <c r="K40" s="15"/>
      <c r="S40" s="7"/>
      <c r="U40" s="7"/>
    </row>
    <row r="41">
      <c r="E41" s="7"/>
    </row>
    <row r="42">
      <c r="E42" s="7"/>
    </row>
    <row r="44">
      <c r="D44" s="6"/>
      <c r="E44" s="14"/>
      <c r="F44" s="14"/>
      <c r="G44" s="14"/>
      <c r="H44" s="14"/>
      <c r="I44" s="14"/>
      <c r="J44" s="14"/>
      <c r="K44" s="14"/>
    </row>
    <row r="45">
      <c r="E45" s="7"/>
    </row>
    <row r="46">
      <c r="E46" s="7"/>
    </row>
    <row r="48">
      <c r="D48" s="6"/>
      <c r="E48" s="14"/>
      <c r="F48" s="14"/>
      <c r="G48" s="14"/>
      <c r="H48" s="14"/>
      <c r="I48" s="14"/>
      <c r="J48" s="14"/>
      <c r="K48" s="14"/>
    </row>
    <row r="49">
      <c r="E49" s="7"/>
    </row>
    <row r="50">
      <c r="E50" s="7"/>
    </row>
    <row r="52">
      <c r="D52" s="6"/>
      <c r="E52" s="14"/>
      <c r="F52" s="14"/>
      <c r="G52" s="14"/>
      <c r="H52" s="14"/>
      <c r="I52" s="14"/>
      <c r="J52" s="14"/>
      <c r="K52" s="14"/>
    </row>
    <row r="53">
      <c r="E53" s="7"/>
    </row>
    <row r="54">
      <c r="E54" s="7"/>
    </row>
    <row r="56">
      <c r="D56" s="6"/>
      <c r="E56" s="14"/>
      <c r="F56" s="14"/>
      <c r="G56" s="14"/>
      <c r="H56" s="14"/>
      <c r="I56" s="14"/>
      <c r="J56" s="14"/>
      <c r="K56" s="14"/>
    </row>
    <row r="57">
      <c r="E57" s="7"/>
    </row>
    <row r="58">
      <c r="E58" s="7"/>
    </row>
    <row r="60">
      <c r="D60" s="6"/>
      <c r="E60" s="14"/>
      <c r="F60" s="14"/>
      <c r="G60" s="14"/>
      <c r="H60" s="14"/>
      <c r="I60" s="14"/>
      <c r="J60" s="14"/>
      <c r="K60" s="14"/>
    </row>
    <row r="61">
      <c r="E61" s="7"/>
    </row>
    <row r="62">
      <c r="E62" s="7"/>
    </row>
  </sheetData>
  <conditionalFormatting sqref="O4 O8 O12 O16 O20 O24 O28 O32 O36 O40 O44 O48 O52 O56 O60">
    <cfRule type="cellIs" dxfId="0" priority="1" operator="greaterThan">
      <formula>0</formula>
    </cfRule>
  </conditionalFormatting>
  <conditionalFormatting sqref="O4 O8 O12 O16 O20 O24 O28 O32 O36 O40 O44 O48 O52 O56 O6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 S24 S28 S32 S36 S40">
    <cfRule type="cellIs" dxfId="3" priority="4" operator="greaterThan">
      <formula>0</formula>
    </cfRule>
  </conditionalFormatting>
  <conditionalFormatting sqref="S4 S8 S12 S16 S20 S24 S28 S32 S36 S40">
    <cfRule type="cellIs" dxfId="3" priority="5" operator="greaterThan">
      <formula>0</formula>
    </cfRule>
  </conditionalFormatting>
  <conditionalFormatting sqref="S4 S8 S12 S16 S20 S24 S28 S32 S36 S40">
    <cfRule type="cellIs" dxfId="4" priority="6" operator="lessThan">
      <formula>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3.38"/>
    <col customWidth="1" min="14" max="14" width="13.25"/>
    <col customWidth="1" min="15" max="15" width="16.63"/>
    <col customWidth="1" min="16" max="16" width="16.25"/>
    <col customWidth="1" min="19" max="19" width="17.5"/>
  </cols>
  <sheetData>
    <row r="1">
      <c r="B1" s="1" t="s">
        <v>1</v>
      </c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>
      <c r="C2" s="1" t="s">
        <v>32</v>
      </c>
      <c r="D2" s="1" t="s">
        <v>14</v>
      </c>
      <c r="E2" s="4" t="s">
        <v>15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22</v>
      </c>
      <c r="K2" s="4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23</v>
      </c>
      <c r="S2" s="1" t="s">
        <v>29</v>
      </c>
      <c r="T2" s="1" t="s">
        <v>30</v>
      </c>
      <c r="U2" s="1" t="s">
        <v>31</v>
      </c>
    </row>
    <row r="3">
      <c r="H3" s="7"/>
      <c r="P3" s="1"/>
      <c r="R3" s="6"/>
      <c r="U3" s="7"/>
    </row>
    <row r="4">
      <c r="A4" s="13">
        <v>45936.0</v>
      </c>
      <c r="B4" s="1">
        <v>1.0</v>
      </c>
      <c r="C4" s="1">
        <v>1.0</v>
      </c>
      <c r="D4" s="6">
        <f>September!K20</f>
        <v>16.14285714</v>
      </c>
      <c r="E4" s="6">
        <v>16.142857142857142</v>
      </c>
      <c r="F4" s="6">
        <v>16.0</v>
      </c>
      <c r="G4" s="6">
        <v>16.0</v>
      </c>
      <c r="H4" s="6">
        <f>15 +7/14</f>
        <v>15.5</v>
      </c>
      <c r="I4" s="6">
        <f>15 +10.8/14</f>
        <v>15.77142857</v>
      </c>
      <c r="J4" s="6">
        <f t="shared" ref="J4:K4" si="1">15 +10.2/14</f>
        <v>15.72857143</v>
      </c>
      <c r="K4" s="6">
        <f t="shared" si="1"/>
        <v>15.72857143</v>
      </c>
      <c r="L4" s="7">
        <f>min(E4:K4)</f>
        <v>15.5</v>
      </c>
      <c r="M4" s="7">
        <f>MAX(E4:K4)</f>
        <v>16.14285714</v>
      </c>
      <c r="N4" s="7">
        <f>M4-L4</f>
        <v>0.6428571429</v>
      </c>
      <c r="O4" s="7">
        <f>K4-E4</f>
        <v>-0.4142857143</v>
      </c>
      <c r="P4" s="9">
        <f>O4*14</f>
        <v>-5.8</v>
      </c>
      <c r="Q4" s="7">
        <f>'Goals (stn) Part 2'!G27</f>
        <v>15.85714286</v>
      </c>
      <c r="R4" s="7">
        <f>L4</f>
        <v>15.5</v>
      </c>
      <c r="S4" s="7">
        <f>Q4-R4</f>
        <v>0.3571428571</v>
      </c>
      <c r="T4" s="7">
        <f>S4*14</f>
        <v>5</v>
      </c>
      <c r="U4" s="7">
        <f>AVERAGE(E4:K4)</f>
        <v>15.83877551</v>
      </c>
      <c r="V4" s="7"/>
    </row>
    <row r="5">
      <c r="D5" s="7"/>
      <c r="E5" s="7">
        <f t="shared" ref="E5:K5" si="2">E4-D4</f>
        <v>0</v>
      </c>
      <c r="F5" s="7">
        <f t="shared" si="2"/>
        <v>-0.1428571429</v>
      </c>
      <c r="G5" s="7">
        <f t="shared" si="2"/>
        <v>0</v>
      </c>
      <c r="H5" s="7">
        <f t="shared" si="2"/>
        <v>-0.5</v>
      </c>
      <c r="I5" s="7">
        <f t="shared" si="2"/>
        <v>0.2714285714</v>
      </c>
      <c r="J5" s="7">
        <f t="shared" si="2"/>
        <v>-0.04285714286</v>
      </c>
      <c r="K5" s="7">
        <f t="shared" si="2"/>
        <v>0</v>
      </c>
      <c r="L5" s="7"/>
      <c r="M5" s="7"/>
      <c r="N5" s="7"/>
      <c r="T5" s="7"/>
    </row>
    <row r="6">
      <c r="D6" s="7"/>
      <c r="E6" s="7">
        <f t="shared" ref="E6:K6" si="3">E5*14</f>
        <v>0</v>
      </c>
      <c r="F6" s="7">
        <f t="shared" si="3"/>
        <v>-2</v>
      </c>
      <c r="G6" s="7">
        <f t="shared" si="3"/>
        <v>0</v>
      </c>
      <c r="H6" s="7">
        <f t="shared" si="3"/>
        <v>-7</v>
      </c>
      <c r="I6" s="7">
        <f t="shared" si="3"/>
        <v>3.8</v>
      </c>
      <c r="J6" s="7">
        <f t="shared" si="3"/>
        <v>-0.6</v>
      </c>
      <c r="K6" s="7">
        <f t="shared" si="3"/>
        <v>0</v>
      </c>
      <c r="L6" s="7"/>
      <c r="M6" s="7"/>
      <c r="N6" s="7"/>
      <c r="T6" s="7"/>
    </row>
    <row r="7">
      <c r="D7" s="7"/>
      <c r="E7" s="7"/>
      <c r="F7" s="7"/>
      <c r="G7" s="7"/>
      <c r="H7" s="7"/>
      <c r="I7" s="7"/>
      <c r="J7" s="7"/>
      <c r="K7" s="7"/>
      <c r="L7" s="7"/>
      <c r="M7" s="7"/>
      <c r="N7" s="7"/>
      <c r="T7" s="7"/>
    </row>
    <row r="8">
      <c r="A8" s="8">
        <f>A4+7</f>
        <v>45943</v>
      </c>
      <c r="B8" s="9">
        <f>B4+1</f>
        <v>2</v>
      </c>
      <c r="C8" s="1">
        <v>2.0</v>
      </c>
      <c r="D8" s="6">
        <f>K4</f>
        <v>15.72857143</v>
      </c>
      <c r="E8" s="6">
        <v>16.0</v>
      </c>
      <c r="F8" s="6">
        <f>15+8.4/14</f>
        <v>15.6</v>
      </c>
      <c r="G8" s="6">
        <f>15+4.8/14</f>
        <v>15.34285714</v>
      </c>
      <c r="H8" s="6">
        <f>15 +7/14</f>
        <v>15.5</v>
      </c>
      <c r="I8" s="6">
        <f t="shared" ref="I8:J8" si="4">15+5.4/14</f>
        <v>15.38571429</v>
      </c>
      <c r="J8" s="6">
        <f t="shared" si="4"/>
        <v>15.38571429</v>
      </c>
      <c r="K8" s="6">
        <f>15+ 9/14</f>
        <v>15.64285714</v>
      </c>
      <c r="L8" s="7">
        <f>min(E8:K8)</f>
        <v>15.34285714</v>
      </c>
      <c r="M8" s="7">
        <f>MAX(E8:K8)</f>
        <v>16</v>
      </c>
      <c r="N8" s="7">
        <f>M8-L8</f>
        <v>0.6571428571</v>
      </c>
      <c r="O8" s="7">
        <f>K8-E8</f>
        <v>-0.3571428571</v>
      </c>
      <c r="P8" s="9">
        <f>O8*14</f>
        <v>-5</v>
      </c>
      <c r="Q8" s="7">
        <f>'Goals (stn) Part 2'!G28</f>
        <v>15.73214286</v>
      </c>
      <c r="R8" s="7">
        <f>L8</f>
        <v>15.34285714</v>
      </c>
      <c r="S8" s="7">
        <f>Q8-R8</f>
        <v>0.3892857143</v>
      </c>
      <c r="T8" s="7">
        <f>S8*14</f>
        <v>5.45</v>
      </c>
      <c r="U8" s="7">
        <f>AVERAGE(E8:K8)</f>
        <v>15.55102041</v>
      </c>
      <c r="V8" s="7">
        <f>-1*(U4-U8)</f>
        <v>-0.287755102</v>
      </c>
      <c r="W8" s="7">
        <f>V8*14</f>
        <v>-4.028571429</v>
      </c>
    </row>
    <row r="9">
      <c r="D9" s="7"/>
      <c r="E9" s="7">
        <f t="shared" ref="E9:K9" si="5">E8-D8</f>
        <v>0.2714285714</v>
      </c>
      <c r="F9" s="7">
        <f t="shared" si="5"/>
        <v>-0.4</v>
      </c>
      <c r="G9" s="7">
        <f t="shared" si="5"/>
        <v>-0.2571428571</v>
      </c>
      <c r="H9" s="7">
        <f t="shared" si="5"/>
        <v>0.1571428571</v>
      </c>
      <c r="I9" s="7">
        <f t="shared" si="5"/>
        <v>-0.1142857143</v>
      </c>
      <c r="J9" s="7">
        <f t="shared" si="5"/>
        <v>0</v>
      </c>
      <c r="K9" s="7">
        <f t="shared" si="5"/>
        <v>0.2571428571</v>
      </c>
      <c r="L9" s="7"/>
      <c r="M9" s="7"/>
      <c r="N9" s="7"/>
      <c r="T9" s="7"/>
    </row>
    <row r="10">
      <c r="D10" s="7"/>
      <c r="E10" s="7">
        <f t="shared" ref="E10:K10" si="6">E9*14</f>
        <v>3.8</v>
      </c>
      <c r="F10" s="7">
        <f t="shared" si="6"/>
        <v>-5.6</v>
      </c>
      <c r="G10" s="7">
        <f t="shared" si="6"/>
        <v>-3.6</v>
      </c>
      <c r="H10" s="7">
        <f t="shared" si="6"/>
        <v>2.2</v>
      </c>
      <c r="I10" s="7">
        <f t="shared" si="6"/>
        <v>-1.6</v>
      </c>
      <c r="J10" s="7">
        <f t="shared" si="6"/>
        <v>0</v>
      </c>
      <c r="K10" s="7">
        <f t="shared" si="6"/>
        <v>3.6</v>
      </c>
      <c r="L10" s="7"/>
      <c r="M10" s="7"/>
      <c r="N10" s="7"/>
      <c r="T10" s="7"/>
    </row>
    <row r="11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T11" s="7"/>
    </row>
    <row r="12">
      <c r="A12" s="8">
        <f>A8+7</f>
        <v>45950</v>
      </c>
      <c r="B12" s="9">
        <f>B8+1</f>
        <v>3</v>
      </c>
      <c r="C12" s="1">
        <v>3.0</v>
      </c>
      <c r="D12" s="7">
        <f>K8</f>
        <v>15.64285714</v>
      </c>
      <c r="E12" s="6">
        <f>15 +7/14</f>
        <v>15.5</v>
      </c>
      <c r="F12" s="6">
        <f>15+ 9/14</f>
        <v>15.64285714</v>
      </c>
      <c r="G12" s="6">
        <f>15+ 3.2/14</f>
        <v>15.22857143</v>
      </c>
      <c r="H12" s="6">
        <f t="shared" ref="H12:I12" si="7">14+ 13.2/14</f>
        <v>14.94285714</v>
      </c>
      <c r="I12" s="6">
        <f t="shared" si="7"/>
        <v>14.94285714</v>
      </c>
      <c r="J12" s="6">
        <f>15 + 2.3/14</f>
        <v>15.16428571</v>
      </c>
      <c r="K12" s="6">
        <f>15 + 5.8/14</f>
        <v>15.41428571</v>
      </c>
      <c r="L12" s="6">
        <f>14+ 13.2/14</f>
        <v>14.94285714</v>
      </c>
      <c r="M12" s="7">
        <f>MAX(E12:K12)</f>
        <v>15.64285714</v>
      </c>
      <c r="N12" s="7">
        <f>M12-L12</f>
        <v>0.7</v>
      </c>
      <c r="O12" s="7">
        <f>K12-E12</f>
        <v>-0.08571428571</v>
      </c>
      <c r="P12" s="9">
        <f>O12*14</f>
        <v>-1.2</v>
      </c>
      <c r="Q12" s="7">
        <f>'Goals (stn) Part 2'!G29</f>
        <v>15.60714286</v>
      </c>
      <c r="R12" s="7">
        <f>L12</f>
        <v>14.94285714</v>
      </c>
      <c r="S12" s="7">
        <f>Q12-R12</f>
        <v>0.6642857143</v>
      </c>
      <c r="T12" s="7">
        <f>S12*14</f>
        <v>9.3</v>
      </c>
      <c r="U12" s="7">
        <f>AVERAGE(E12:K12)</f>
        <v>15.2622449</v>
      </c>
      <c r="V12" s="7">
        <f>-1*(U8-U12)</f>
        <v>-0.2887755102</v>
      </c>
      <c r="W12" s="7">
        <f>V12*14</f>
        <v>-4.042857143</v>
      </c>
    </row>
    <row r="13">
      <c r="D13" s="7"/>
      <c r="E13" s="7">
        <f t="shared" ref="E13:K13" si="8">E12-D12</f>
        <v>-0.1428571429</v>
      </c>
      <c r="F13" s="7">
        <f t="shared" si="8"/>
        <v>0.1428571429</v>
      </c>
      <c r="G13" s="7">
        <f t="shared" si="8"/>
        <v>-0.4142857143</v>
      </c>
      <c r="H13" s="7">
        <f t="shared" si="8"/>
        <v>-0.2857142857</v>
      </c>
      <c r="I13" s="7">
        <f t="shared" si="8"/>
        <v>0</v>
      </c>
      <c r="J13" s="7">
        <f t="shared" si="8"/>
        <v>0.2214285714</v>
      </c>
      <c r="K13" s="7">
        <f t="shared" si="8"/>
        <v>0.25</v>
      </c>
      <c r="L13" s="7"/>
      <c r="M13" s="7"/>
      <c r="N13" s="7"/>
      <c r="T13" s="7"/>
    </row>
    <row r="14">
      <c r="D14" s="7"/>
      <c r="E14" s="7">
        <f t="shared" ref="E14:K14" si="9">E13*14</f>
        <v>-2</v>
      </c>
      <c r="F14" s="7">
        <f t="shared" si="9"/>
        <v>2</v>
      </c>
      <c r="G14" s="7">
        <f t="shared" si="9"/>
        <v>-5.8</v>
      </c>
      <c r="H14" s="7">
        <f t="shared" si="9"/>
        <v>-4</v>
      </c>
      <c r="I14" s="7">
        <f t="shared" si="9"/>
        <v>0</v>
      </c>
      <c r="J14" s="7">
        <f t="shared" si="9"/>
        <v>3.1</v>
      </c>
      <c r="K14" s="7">
        <f t="shared" si="9"/>
        <v>3.5</v>
      </c>
      <c r="L14" s="7"/>
      <c r="M14" s="7"/>
      <c r="N14" s="7"/>
      <c r="T14" s="7"/>
    </row>
    <row r="15"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T15" s="7"/>
    </row>
    <row r="16">
      <c r="A16" s="8">
        <f>A12+7</f>
        <v>45957</v>
      </c>
      <c r="B16" s="9">
        <f>B12+1</f>
        <v>4</v>
      </c>
      <c r="C16" s="1">
        <v>4.0</v>
      </c>
      <c r="D16" s="7">
        <f>K12</f>
        <v>15.41428571</v>
      </c>
      <c r="E16" s="6">
        <f>15 + 5.8/14</f>
        <v>15.41428571</v>
      </c>
      <c r="F16" s="6">
        <f>15 + 0.2/14</f>
        <v>15.01428571</v>
      </c>
      <c r="G16" s="6">
        <f>14 + 12/14</f>
        <v>14.85714286</v>
      </c>
      <c r="H16" s="6">
        <f>15</f>
        <v>15</v>
      </c>
      <c r="I16" s="6">
        <f>14 + 12/14</f>
        <v>14.85714286</v>
      </c>
      <c r="J16" s="6">
        <f t="shared" ref="J16:K16" si="10">14 + 11.5/14</f>
        <v>14.82142857</v>
      </c>
      <c r="K16" s="6">
        <f t="shared" si="10"/>
        <v>14.82142857</v>
      </c>
      <c r="L16" s="7">
        <f>min(E16:K16)</f>
        <v>14.82142857</v>
      </c>
      <c r="M16" s="7">
        <f>MAX(E16:K16)</f>
        <v>15.41428571</v>
      </c>
      <c r="N16" s="7">
        <f>M16-L16</f>
        <v>0.5928571429</v>
      </c>
      <c r="O16" s="7">
        <f>K16-E16</f>
        <v>-0.5928571429</v>
      </c>
      <c r="P16" s="9">
        <f>O16*14</f>
        <v>-8.3</v>
      </c>
      <c r="Q16" s="7">
        <f>'Goals (stn) Part 2'!G30</f>
        <v>15</v>
      </c>
      <c r="R16" s="7">
        <f>L16</f>
        <v>14.82142857</v>
      </c>
      <c r="S16" s="7">
        <f>Q16-R16</f>
        <v>0.1785714286</v>
      </c>
      <c r="T16" s="7">
        <f>S16*14</f>
        <v>2.5</v>
      </c>
      <c r="U16" s="7">
        <f>AVERAGE(E16:K16)</f>
        <v>14.96938776</v>
      </c>
      <c r="V16" s="7">
        <f>-1*(U12-U16)</f>
        <v>-0.2928571429</v>
      </c>
      <c r="W16" s="7">
        <f>V16*14</f>
        <v>-4.1</v>
      </c>
    </row>
    <row r="17">
      <c r="D17" s="7"/>
      <c r="E17" s="7">
        <f t="shared" ref="E17:K17" si="11">E16-D16</f>
        <v>0</v>
      </c>
      <c r="F17" s="7">
        <f t="shared" si="11"/>
        <v>-0.4</v>
      </c>
      <c r="G17" s="7">
        <f t="shared" si="11"/>
        <v>-0.1571428571</v>
      </c>
      <c r="H17" s="7">
        <f t="shared" si="11"/>
        <v>0.1428571429</v>
      </c>
      <c r="I17" s="7">
        <f t="shared" si="11"/>
        <v>-0.1428571429</v>
      </c>
      <c r="J17" s="7">
        <f t="shared" si="11"/>
        <v>-0.03571428571</v>
      </c>
      <c r="K17" s="7">
        <f t="shared" si="11"/>
        <v>0</v>
      </c>
      <c r="L17" s="7"/>
      <c r="M17" s="7"/>
      <c r="N17" s="7"/>
    </row>
    <row r="18">
      <c r="D18" s="7"/>
      <c r="E18" s="7">
        <f t="shared" ref="E18:K18" si="12">E17*14</f>
        <v>0</v>
      </c>
      <c r="F18" s="7">
        <f t="shared" si="12"/>
        <v>-5.6</v>
      </c>
      <c r="G18" s="7">
        <f t="shared" si="12"/>
        <v>-2.2</v>
      </c>
      <c r="H18" s="7">
        <f t="shared" si="12"/>
        <v>2</v>
      </c>
      <c r="I18" s="7">
        <f t="shared" si="12"/>
        <v>-2</v>
      </c>
      <c r="J18" s="7">
        <f t="shared" si="12"/>
        <v>-0.5</v>
      </c>
      <c r="K18" s="7">
        <f t="shared" si="12"/>
        <v>0</v>
      </c>
      <c r="L18" s="7"/>
      <c r="M18" s="7"/>
      <c r="N18" s="7"/>
    </row>
    <row r="19">
      <c r="D19" s="6"/>
      <c r="E19" s="6"/>
      <c r="F19" s="6"/>
      <c r="G19" s="6"/>
      <c r="H19" s="6"/>
      <c r="I19" s="6"/>
      <c r="J19" s="6"/>
      <c r="K19" s="6"/>
    </row>
    <row r="20">
      <c r="A20" s="8"/>
      <c r="E20" s="7"/>
      <c r="F20" s="7"/>
      <c r="G20" s="7"/>
      <c r="H20" s="7"/>
      <c r="I20" s="7"/>
      <c r="J20" s="7"/>
      <c r="K20" s="7"/>
      <c r="S20" s="7"/>
      <c r="U20" s="7"/>
      <c r="V20" s="7"/>
      <c r="W20" s="7"/>
    </row>
    <row r="23">
      <c r="D23" s="6"/>
      <c r="E23" s="6"/>
      <c r="F23" s="6"/>
      <c r="G23" s="6"/>
      <c r="H23" s="6"/>
      <c r="I23" s="6"/>
      <c r="J23" s="6"/>
      <c r="K23" s="6"/>
      <c r="Q23" s="7"/>
    </row>
    <row r="24">
      <c r="E24" s="7"/>
      <c r="S24" s="7"/>
      <c r="U24" s="7"/>
      <c r="V24" s="7"/>
    </row>
    <row r="25">
      <c r="E25" s="7"/>
    </row>
    <row r="27">
      <c r="D27" s="6"/>
      <c r="E27" s="6"/>
      <c r="F27" s="6"/>
      <c r="G27" s="6"/>
      <c r="H27" s="6"/>
      <c r="I27" s="6"/>
      <c r="J27" s="6"/>
      <c r="K27" s="6"/>
    </row>
    <row r="28">
      <c r="E28" s="7"/>
      <c r="S28" s="7"/>
      <c r="U28" s="7"/>
      <c r="V28" s="7"/>
    </row>
    <row r="29">
      <c r="E29" s="7"/>
    </row>
    <row r="31">
      <c r="D31" s="6"/>
      <c r="E31" s="6"/>
      <c r="F31" s="6"/>
      <c r="G31" s="6"/>
      <c r="H31" s="6"/>
      <c r="I31" s="6"/>
      <c r="J31" s="6"/>
      <c r="K31" s="6"/>
    </row>
    <row r="32">
      <c r="E32" s="7"/>
      <c r="S32" s="7"/>
      <c r="U32" s="7"/>
    </row>
    <row r="33">
      <c r="E33" s="7"/>
    </row>
    <row r="36">
      <c r="D36" s="6"/>
      <c r="E36" s="14"/>
      <c r="F36" s="14"/>
      <c r="G36" s="14"/>
      <c r="H36" s="14"/>
      <c r="I36" s="14"/>
      <c r="J36" s="14"/>
      <c r="K36" s="14"/>
      <c r="S36" s="7"/>
      <c r="U36" s="7"/>
    </row>
    <row r="37">
      <c r="E37" s="7"/>
    </row>
    <row r="38">
      <c r="E38" s="7"/>
    </row>
    <row r="40">
      <c r="D40" s="6"/>
      <c r="E40" s="15"/>
      <c r="F40" s="15"/>
      <c r="G40" s="15"/>
      <c r="H40" s="15"/>
      <c r="I40" s="15"/>
      <c r="J40" s="15"/>
      <c r="K40" s="15"/>
      <c r="S40" s="7"/>
      <c r="U40" s="7"/>
    </row>
    <row r="41">
      <c r="E41" s="7"/>
    </row>
    <row r="42">
      <c r="E42" s="7"/>
    </row>
    <row r="44">
      <c r="D44" s="6"/>
      <c r="E44" s="14"/>
      <c r="F44" s="14"/>
      <c r="G44" s="14"/>
      <c r="H44" s="14"/>
      <c r="I44" s="14"/>
      <c r="J44" s="14"/>
      <c r="K44" s="14"/>
    </row>
    <row r="45">
      <c r="E45" s="7"/>
    </row>
    <row r="46">
      <c r="E46" s="7"/>
    </row>
    <row r="48">
      <c r="D48" s="6"/>
      <c r="E48" s="14"/>
      <c r="F48" s="14"/>
      <c r="G48" s="14"/>
      <c r="H48" s="14"/>
      <c r="I48" s="14"/>
      <c r="J48" s="14"/>
      <c r="K48" s="14"/>
    </row>
    <row r="49">
      <c r="E49" s="7"/>
    </row>
    <row r="50">
      <c r="E50" s="7"/>
    </row>
    <row r="52">
      <c r="D52" s="6"/>
      <c r="E52" s="14"/>
      <c r="F52" s="14"/>
      <c r="G52" s="14"/>
      <c r="H52" s="14"/>
      <c r="I52" s="14"/>
      <c r="J52" s="14"/>
      <c r="K52" s="14"/>
    </row>
    <row r="53">
      <c r="E53" s="7"/>
    </row>
    <row r="54">
      <c r="E54" s="7"/>
    </row>
    <row r="56">
      <c r="A56" s="9">
        <f>A52+7</f>
        <v>7</v>
      </c>
      <c r="B56" s="9">
        <f>B52+1</f>
        <v>1</v>
      </c>
      <c r="D56" s="6" t="str">
        <f>K52</f>
        <v/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  <c r="K56" s="14">
        <v>0.0</v>
      </c>
      <c r="L56" s="7">
        <f>min(E56:K56)</f>
        <v>0</v>
      </c>
      <c r="M56" s="7">
        <f>MAX(E56:K56)</f>
        <v>0</v>
      </c>
      <c r="N56" s="7">
        <f>M56-L56</f>
        <v>0</v>
      </c>
      <c r="O56" s="7">
        <f>K56-E56</f>
        <v>0</v>
      </c>
      <c r="P56" s="9">
        <f>O56*14</f>
        <v>0</v>
      </c>
    </row>
    <row r="57">
      <c r="D57" s="9">
        <f>D56*14</f>
        <v>0</v>
      </c>
      <c r="E57" s="7">
        <f>E56-K52</f>
        <v>0</v>
      </c>
      <c r="F57" s="7">
        <f t="shared" ref="F57:K57" si="13">F56-E56</f>
        <v>0</v>
      </c>
      <c r="G57" s="7">
        <f t="shared" si="13"/>
        <v>0</v>
      </c>
      <c r="H57" s="7">
        <f t="shared" si="13"/>
        <v>0</v>
      </c>
      <c r="I57" s="7">
        <f t="shared" si="13"/>
        <v>0</v>
      </c>
      <c r="J57" s="7">
        <f t="shared" si="13"/>
        <v>0</v>
      </c>
      <c r="K57" s="7">
        <f t="shared" si="13"/>
        <v>0</v>
      </c>
    </row>
    <row r="58">
      <c r="E58" s="7">
        <f>(K53-E57)*-1</f>
        <v>0</v>
      </c>
      <c r="F58" s="9">
        <f t="shared" ref="F58:K58" si="14">F57*14</f>
        <v>0</v>
      </c>
      <c r="G58" s="9">
        <f t="shared" si="14"/>
        <v>0</v>
      </c>
      <c r="H58" s="9">
        <f t="shared" si="14"/>
        <v>0</v>
      </c>
      <c r="I58" s="9">
        <f t="shared" si="14"/>
        <v>0</v>
      </c>
      <c r="J58" s="9">
        <f t="shared" si="14"/>
        <v>0</v>
      </c>
      <c r="K58" s="9">
        <f t="shared" si="14"/>
        <v>0</v>
      </c>
    </row>
    <row r="60">
      <c r="A60" s="9">
        <f>A56+7</f>
        <v>14</v>
      </c>
      <c r="B60" s="9">
        <f>B56+1</f>
        <v>2</v>
      </c>
      <c r="D60" s="6">
        <f>K56</f>
        <v>0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  <c r="K60" s="14">
        <v>0.0</v>
      </c>
      <c r="L60" s="7">
        <f>min(E60:K60)</f>
        <v>0</v>
      </c>
      <c r="M60" s="7">
        <f>MAX(E60:K60)</f>
        <v>0</v>
      </c>
      <c r="N60" s="7">
        <f>M60-L60</f>
        <v>0</v>
      </c>
      <c r="O60" s="7">
        <f>K60-E60</f>
        <v>0</v>
      </c>
      <c r="P60" s="9">
        <f>O60*14</f>
        <v>0</v>
      </c>
    </row>
    <row r="61">
      <c r="D61" s="9">
        <f>D60*14</f>
        <v>0</v>
      </c>
      <c r="E61" s="7">
        <f>E60-K56</f>
        <v>0</v>
      </c>
      <c r="F61" s="7">
        <f t="shared" ref="F61:K61" si="15">F60-E60</f>
        <v>0</v>
      </c>
      <c r="G61" s="7">
        <f t="shared" si="15"/>
        <v>0</v>
      </c>
      <c r="H61" s="7">
        <f t="shared" si="15"/>
        <v>0</v>
      </c>
      <c r="I61" s="7">
        <f t="shared" si="15"/>
        <v>0</v>
      </c>
      <c r="J61" s="7">
        <f t="shared" si="15"/>
        <v>0</v>
      </c>
      <c r="K61" s="7">
        <f t="shared" si="15"/>
        <v>0</v>
      </c>
    </row>
    <row r="62">
      <c r="E62" s="7">
        <f>(K57-E61)*-1</f>
        <v>0</v>
      </c>
      <c r="F62" s="9">
        <f t="shared" ref="F62:K62" si="16">F61*14</f>
        <v>0</v>
      </c>
      <c r="G62" s="9">
        <f t="shared" si="16"/>
        <v>0</v>
      </c>
      <c r="H62" s="9">
        <f t="shared" si="16"/>
        <v>0</v>
      </c>
      <c r="I62" s="9">
        <f t="shared" si="16"/>
        <v>0</v>
      </c>
      <c r="J62" s="9">
        <f t="shared" si="16"/>
        <v>0</v>
      </c>
      <c r="K62" s="9">
        <f t="shared" si="16"/>
        <v>0</v>
      </c>
      <c r="L62" s="7">
        <f>average($L$4:L60)</f>
        <v>10.10119048</v>
      </c>
      <c r="M62" s="7">
        <f>average($M$4:M60)</f>
        <v>10.53333333</v>
      </c>
    </row>
  </sheetData>
  <conditionalFormatting sqref="O4 O8 O12 O16 O20 O24 O28 O32 O36 O40 O44 O48 O52 O56 O60">
    <cfRule type="cellIs" dxfId="0" priority="1" operator="greaterThan">
      <formula>0</formula>
    </cfRule>
  </conditionalFormatting>
  <conditionalFormatting sqref="O4 O8 O12 O16 O20 O24 O28 O32 O36 O40 O44 O48 O52 O56 O6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 S24 S28 S32 S36 S40">
    <cfRule type="cellIs" dxfId="3" priority="4" operator="greaterThan">
      <formula>0</formula>
    </cfRule>
  </conditionalFormatting>
  <conditionalFormatting sqref="S4 S8 S12 S16 S20 S24 S28 S32 S36 S40">
    <cfRule type="cellIs" dxfId="3" priority="5" operator="greaterThan">
      <formula>0</formula>
    </cfRule>
  </conditionalFormatting>
  <conditionalFormatting sqref="S4 S8 S12 S16 S20 S24 S28 S32 S36 S40">
    <cfRule type="cellIs" dxfId="4" priority="6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3.38"/>
    <col customWidth="1" min="14" max="14" width="13.25"/>
    <col customWidth="1" min="15" max="15" width="16.63"/>
    <col customWidth="1" min="16" max="16" width="16.25"/>
    <col customWidth="1" min="19" max="19" width="17.5"/>
  </cols>
  <sheetData>
    <row r="1">
      <c r="B1" s="1" t="s">
        <v>1</v>
      </c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>
      <c r="C2" s="1" t="s">
        <v>32</v>
      </c>
      <c r="D2" s="1" t="s">
        <v>14</v>
      </c>
      <c r="E2" s="4" t="s">
        <v>15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22</v>
      </c>
      <c r="K2" s="4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23</v>
      </c>
      <c r="S2" s="1" t="s">
        <v>29</v>
      </c>
      <c r="T2" s="1" t="s">
        <v>30</v>
      </c>
      <c r="U2" s="1" t="s">
        <v>31</v>
      </c>
    </row>
    <row r="3">
      <c r="H3" s="7"/>
      <c r="P3" s="1"/>
      <c r="R3" s="6"/>
      <c r="U3" s="7"/>
    </row>
    <row r="4">
      <c r="A4" s="13">
        <v>45964.0</v>
      </c>
      <c r="B4" s="1">
        <v>1.0</v>
      </c>
      <c r="C4" s="1">
        <v>1.0</v>
      </c>
      <c r="D4" s="6">
        <f>October!K16</f>
        <v>14.82142857</v>
      </c>
      <c r="E4" s="6">
        <f>+14+13.6/14</f>
        <v>14.97142857</v>
      </c>
      <c r="F4" s="6">
        <f t="shared" ref="F4:G4" si="1">15+3.6/14</f>
        <v>15.25714286</v>
      </c>
      <c r="G4" s="6">
        <f t="shared" si="1"/>
        <v>15.25714286</v>
      </c>
      <c r="H4" s="6">
        <f>15</f>
        <v>15</v>
      </c>
      <c r="I4" s="6">
        <f> (15 +15.5)/2</f>
        <v>15.25</v>
      </c>
      <c r="J4" s="6">
        <f>15.5</f>
        <v>15.5</v>
      </c>
      <c r="K4" s="6">
        <v>15.5</v>
      </c>
      <c r="L4" s="7">
        <f>min(E4:K4)</f>
        <v>14.97142857</v>
      </c>
      <c r="M4" s="7">
        <f>MAX(E4:K4)</f>
        <v>15.5</v>
      </c>
      <c r="N4" s="7">
        <f>M4-L4</f>
        <v>0.5285714286</v>
      </c>
      <c r="O4" s="7">
        <f>K4-E4</f>
        <v>0.5285714286</v>
      </c>
      <c r="P4" s="9">
        <f>O4*14</f>
        <v>7.4</v>
      </c>
      <c r="Q4" s="7">
        <f>'Goals (stn) Part 2'!H32</f>
        <v>14.875</v>
      </c>
      <c r="R4" s="7">
        <f>min(E4:K4)</f>
        <v>14.97142857</v>
      </c>
      <c r="S4" s="7">
        <f>Q4-R4</f>
        <v>-0.09642857143</v>
      </c>
      <c r="T4" s="7">
        <f>S4*14</f>
        <v>-1.35</v>
      </c>
      <c r="U4" s="7">
        <f>AVERAGE(E4:K4)</f>
        <v>15.24795918</v>
      </c>
      <c r="V4" s="7"/>
    </row>
    <row r="5">
      <c r="D5" s="7"/>
      <c r="E5" s="7">
        <f t="shared" ref="E5:K5" si="2">E4-D4</f>
        <v>0.15</v>
      </c>
      <c r="F5" s="7">
        <f t="shared" si="2"/>
        <v>0.2857142857</v>
      </c>
      <c r="G5" s="7">
        <f t="shared" si="2"/>
        <v>0</v>
      </c>
      <c r="H5" s="7">
        <f t="shared" si="2"/>
        <v>-0.2571428571</v>
      </c>
      <c r="I5" s="7">
        <f t="shared" si="2"/>
        <v>0.25</v>
      </c>
      <c r="J5" s="7">
        <f t="shared" si="2"/>
        <v>0.25</v>
      </c>
      <c r="K5" s="7">
        <f t="shared" si="2"/>
        <v>0</v>
      </c>
      <c r="L5" s="7"/>
      <c r="M5" s="7"/>
      <c r="N5" s="7"/>
      <c r="T5" s="7"/>
    </row>
    <row r="6">
      <c r="D6" s="7"/>
      <c r="E6" s="7">
        <f t="shared" ref="E6:K6" si="3">E5*14</f>
        <v>2.1</v>
      </c>
      <c r="F6" s="7">
        <f t="shared" si="3"/>
        <v>4</v>
      </c>
      <c r="G6" s="7">
        <f t="shared" si="3"/>
        <v>0</v>
      </c>
      <c r="H6" s="7">
        <f t="shared" si="3"/>
        <v>-3.6</v>
      </c>
      <c r="I6" s="7">
        <f t="shared" si="3"/>
        <v>3.5</v>
      </c>
      <c r="J6" s="7">
        <f t="shared" si="3"/>
        <v>3.5</v>
      </c>
      <c r="K6" s="7">
        <f t="shared" si="3"/>
        <v>0</v>
      </c>
      <c r="L6" s="7"/>
      <c r="M6" s="7"/>
      <c r="N6" s="7"/>
      <c r="T6" s="7"/>
    </row>
    <row r="7">
      <c r="D7" s="7"/>
      <c r="E7" s="7"/>
      <c r="F7" s="7"/>
      <c r="G7" s="7"/>
      <c r="H7" s="7"/>
      <c r="I7" s="7"/>
      <c r="J7" s="7"/>
      <c r="K7" s="7"/>
      <c r="L7" s="7"/>
      <c r="M7" s="7"/>
      <c r="N7" s="7"/>
      <c r="T7" s="7"/>
    </row>
    <row r="8">
      <c r="A8" s="8">
        <f>A4+7</f>
        <v>45971</v>
      </c>
      <c r="B8" s="9">
        <f>B4+1</f>
        <v>2</v>
      </c>
      <c r="C8" s="1">
        <v>2.0</v>
      </c>
      <c r="D8" s="6">
        <f>K4</f>
        <v>15.5</v>
      </c>
      <c r="E8" s="6">
        <v>15.5</v>
      </c>
      <c r="F8" s="6">
        <v>15.5</v>
      </c>
      <c r="G8" s="6">
        <v>15.0</v>
      </c>
      <c r="H8" s="6">
        <v>15.0</v>
      </c>
      <c r="I8" s="6">
        <v>15.0</v>
      </c>
      <c r="J8" s="6">
        <v>15.0</v>
      </c>
      <c r="K8" s="6">
        <v>15.0</v>
      </c>
      <c r="L8" s="7">
        <f>min(E8:K8)</f>
        <v>15</v>
      </c>
      <c r="M8" s="7">
        <f>MAX(E8:K8)</f>
        <v>15.5</v>
      </c>
      <c r="N8" s="7">
        <f>M8-L8</f>
        <v>0.5</v>
      </c>
      <c r="O8" s="7">
        <f>K8-E8</f>
        <v>-0.5</v>
      </c>
      <c r="P8" s="9">
        <f>O8*14</f>
        <v>-7</v>
      </c>
      <c r="Q8" s="7">
        <f>'Goals (stn) Part 2'!H33</f>
        <v>14.75</v>
      </c>
      <c r="R8" s="7">
        <f>min(E8:K8)</f>
        <v>15</v>
      </c>
      <c r="S8" s="7">
        <f>Q8-R8</f>
        <v>-0.25</v>
      </c>
      <c r="T8" s="7">
        <f>S8*14</f>
        <v>-3.5</v>
      </c>
      <c r="U8" s="7">
        <f>AVERAGE(E8:K8)</f>
        <v>15.14285714</v>
      </c>
      <c r="V8" s="7">
        <f>-1*(U4-U8)</f>
        <v>-0.1051020408</v>
      </c>
      <c r="W8" s="7">
        <f>V8*14</f>
        <v>-1.471428571</v>
      </c>
    </row>
    <row r="9">
      <c r="D9" s="7"/>
      <c r="E9" s="7">
        <f t="shared" ref="E9:K9" si="4">E8-D8</f>
        <v>0</v>
      </c>
      <c r="F9" s="7">
        <f t="shared" si="4"/>
        <v>0</v>
      </c>
      <c r="G9" s="7">
        <f t="shared" si="4"/>
        <v>-0.5</v>
      </c>
      <c r="H9" s="7">
        <f t="shared" si="4"/>
        <v>0</v>
      </c>
      <c r="I9" s="7">
        <f t="shared" si="4"/>
        <v>0</v>
      </c>
      <c r="J9" s="7">
        <f t="shared" si="4"/>
        <v>0</v>
      </c>
      <c r="K9" s="7">
        <f t="shared" si="4"/>
        <v>0</v>
      </c>
      <c r="L9" s="7"/>
      <c r="M9" s="7"/>
      <c r="N9" s="7"/>
      <c r="T9" s="7"/>
    </row>
    <row r="10">
      <c r="D10" s="7"/>
      <c r="E10" s="7">
        <f t="shared" ref="E10:K10" si="5">E9*14</f>
        <v>0</v>
      </c>
      <c r="F10" s="7">
        <f t="shared" si="5"/>
        <v>0</v>
      </c>
      <c r="G10" s="7">
        <f t="shared" si="5"/>
        <v>-7</v>
      </c>
      <c r="H10" s="7">
        <f t="shared" si="5"/>
        <v>0</v>
      </c>
      <c r="I10" s="7">
        <f t="shared" si="5"/>
        <v>0</v>
      </c>
      <c r="J10" s="7">
        <f t="shared" si="5"/>
        <v>0</v>
      </c>
      <c r="K10" s="7">
        <f t="shared" si="5"/>
        <v>0</v>
      </c>
      <c r="L10" s="7"/>
      <c r="M10" s="7"/>
      <c r="N10" s="7"/>
      <c r="T10" s="7"/>
    </row>
    <row r="11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T11" s="7"/>
    </row>
    <row r="12">
      <c r="A12" s="8">
        <f>A8+7</f>
        <v>45978</v>
      </c>
      <c r="B12" s="9">
        <f>B8+1</f>
        <v>3</v>
      </c>
      <c r="C12" s="1">
        <v>3.0</v>
      </c>
      <c r="D12" s="7">
        <f>K8</f>
        <v>15</v>
      </c>
      <c r="E12" s="6">
        <v>15.5</v>
      </c>
      <c r="F12" s="6">
        <v>15.25</v>
      </c>
      <c r="G12" s="6">
        <v>15.0</v>
      </c>
      <c r="H12" s="6">
        <f>14 +9.4/14</f>
        <v>14.67142857</v>
      </c>
      <c r="I12" s="6">
        <f>14 +7.4/14</f>
        <v>14.52857143</v>
      </c>
      <c r="J12" s="6">
        <f>14 +11.4/14</f>
        <v>14.81428571</v>
      </c>
      <c r="K12" s="6">
        <f>14 +13/14</f>
        <v>14.92857143</v>
      </c>
      <c r="L12" s="6">
        <f>14+ 13.2/14</f>
        <v>14.94285714</v>
      </c>
      <c r="M12" s="7">
        <f>MAX(E12:K12)</f>
        <v>15.5</v>
      </c>
      <c r="N12" s="7">
        <f>M12-L12</f>
        <v>0.5571428571</v>
      </c>
      <c r="O12" s="7">
        <f>K12-E12</f>
        <v>-0.5714285714</v>
      </c>
      <c r="P12" s="9">
        <f>O12*14</f>
        <v>-8</v>
      </c>
      <c r="Q12" s="7">
        <f>'Goals (stn) Part 2'!H34</f>
        <v>14.625</v>
      </c>
      <c r="R12" s="7">
        <f>min(E12:K12)</f>
        <v>14.52857143</v>
      </c>
      <c r="S12" s="7">
        <f>Q12-R12</f>
        <v>0.09642857143</v>
      </c>
      <c r="T12" s="7">
        <f>S12*14</f>
        <v>1.35</v>
      </c>
      <c r="U12" s="7">
        <f>AVERAGE(E12:K12)</f>
        <v>14.95612245</v>
      </c>
      <c r="V12" s="7">
        <f>-1*(U8-U12)</f>
        <v>-0.1867346939</v>
      </c>
      <c r="W12" s="7">
        <f>V12*14</f>
        <v>-2.614285714</v>
      </c>
    </row>
    <row r="13">
      <c r="D13" s="7"/>
      <c r="E13" s="7">
        <f t="shared" ref="E13:K13" si="6">E12-D12</f>
        <v>0.5</v>
      </c>
      <c r="F13" s="7">
        <f t="shared" si="6"/>
        <v>-0.25</v>
      </c>
      <c r="G13" s="7">
        <f t="shared" si="6"/>
        <v>-0.25</v>
      </c>
      <c r="H13" s="7">
        <f t="shared" si="6"/>
        <v>-0.3285714286</v>
      </c>
      <c r="I13" s="7">
        <f t="shared" si="6"/>
        <v>-0.1428571429</v>
      </c>
      <c r="J13" s="7">
        <f t="shared" si="6"/>
        <v>0.2857142857</v>
      </c>
      <c r="K13" s="7">
        <f t="shared" si="6"/>
        <v>0.1142857143</v>
      </c>
      <c r="L13" s="7"/>
      <c r="M13" s="7"/>
      <c r="N13" s="7"/>
      <c r="T13" s="7"/>
    </row>
    <row r="14">
      <c r="D14" s="7"/>
      <c r="E14" s="7">
        <f t="shared" ref="E14:K14" si="7">E13*14</f>
        <v>7</v>
      </c>
      <c r="F14" s="7">
        <f t="shared" si="7"/>
        <v>-3.5</v>
      </c>
      <c r="G14" s="7">
        <f t="shared" si="7"/>
        <v>-3.5</v>
      </c>
      <c r="H14" s="7">
        <f t="shared" si="7"/>
        <v>-4.6</v>
      </c>
      <c r="I14" s="7">
        <f t="shared" si="7"/>
        <v>-2</v>
      </c>
      <c r="J14" s="7">
        <f t="shared" si="7"/>
        <v>4</v>
      </c>
      <c r="K14" s="7">
        <f t="shared" si="7"/>
        <v>1.6</v>
      </c>
      <c r="L14" s="7"/>
      <c r="M14" s="7"/>
      <c r="N14" s="7"/>
      <c r="T14" s="7"/>
    </row>
    <row r="15"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T15" s="7"/>
    </row>
    <row r="16">
      <c r="A16" s="8">
        <f>A12+7</f>
        <v>45985</v>
      </c>
      <c r="B16" s="9">
        <f>B12+1</f>
        <v>4</v>
      </c>
      <c r="C16" s="1">
        <v>4.0</v>
      </c>
      <c r="D16" s="7">
        <f>K12</f>
        <v>14.92857143</v>
      </c>
      <c r="E16" s="6">
        <f t="shared" ref="E16:F16" si="8">14 + 0.75</f>
        <v>14.75</v>
      </c>
      <c r="F16" s="6">
        <f t="shared" si="8"/>
        <v>14.75</v>
      </c>
      <c r="G16" s="6">
        <f>14 + 9/14</f>
        <v>14.64285714</v>
      </c>
      <c r="H16" s="6">
        <v>15.0</v>
      </c>
      <c r="I16" s="6">
        <v>15.0</v>
      </c>
      <c r="J16" s="6">
        <f t="shared" ref="J16:K16" si="9">14 + 9/14</f>
        <v>14.64285714</v>
      </c>
      <c r="K16" s="6">
        <f t="shared" si="9"/>
        <v>14.64285714</v>
      </c>
      <c r="L16" s="7">
        <f>min(E16:K16)</f>
        <v>14.64285714</v>
      </c>
      <c r="M16" s="7">
        <f>MAX(E16:K16)</f>
        <v>15</v>
      </c>
      <c r="N16" s="7">
        <f>M16-L16</f>
        <v>0.3571428571</v>
      </c>
      <c r="O16" s="7">
        <f>K16-E16</f>
        <v>-0.1071428571</v>
      </c>
      <c r="P16" s="9">
        <f>O16*14</f>
        <v>-1.5</v>
      </c>
      <c r="Q16" s="7">
        <f>'Goals (stn) Part 2'!H35</f>
        <v>14.5</v>
      </c>
      <c r="R16" s="7">
        <f>min(E16:K16)</f>
        <v>14.64285714</v>
      </c>
      <c r="S16" s="7">
        <f>Q16-R16</f>
        <v>-0.1428571429</v>
      </c>
      <c r="T16" s="7">
        <f>S16*14</f>
        <v>-2</v>
      </c>
      <c r="U16" s="7">
        <f>AVERAGE(E16:K16)</f>
        <v>14.7755102</v>
      </c>
      <c r="V16" s="7">
        <f>-1*(U12-U16)</f>
        <v>-0.1806122449</v>
      </c>
      <c r="W16" s="7">
        <f>V16*14</f>
        <v>-2.528571429</v>
      </c>
    </row>
    <row r="17">
      <c r="D17" s="7"/>
      <c r="E17" s="7">
        <f t="shared" ref="E17:K17" si="10">E16-D16</f>
        <v>-0.1785714286</v>
      </c>
      <c r="F17" s="7">
        <f t="shared" si="10"/>
        <v>0</v>
      </c>
      <c r="G17" s="7">
        <f t="shared" si="10"/>
        <v>-0.1071428571</v>
      </c>
      <c r="H17" s="7">
        <f t="shared" si="10"/>
        <v>0.3571428571</v>
      </c>
      <c r="I17" s="7">
        <f t="shared" si="10"/>
        <v>0</v>
      </c>
      <c r="J17" s="7">
        <f t="shared" si="10"/>
        <v>-0.3571428571</v>
      </c>
      <c r="K17" s="7">
        <f t="shared" si="10"/>
        <v>0</v>
      </c>
      <c r="L17" s="7"/>
      <c r="M17" s="7"/>
      <c r="N17" s="7"/>
    </row>
    <row r="18">
      <c r="D18" s="7"/>
      <c r="E18" s="7">
        <f t="shared" ref="E18:K18" si="11">E17*14</f>
        <v>-2.5</v>
      </c>
      <c r="F18" s="7">
        <f t="shared" si="11"/>
        <v>0</v>
      </c>
      <c r="G18" s="7">
        <f t="shared" si="11"/>
        <v>-1.5</v>
      </c>
      <c r="H18" s="7">
        <f t="shared" si="11"/>
        <v>5</v>
      </c>
      <c r="I18" s="7">
        <f t="shared" si="11"/>
        <v>0</v>
      </c>
      <c r="J18" s="7">
        <f t="shared" si="11"/>
        <v>-5</v>
      </c>
      <c r="K18" s="7">
        <f t="shared" si="11"/>
        <v>0</v>
      </c>
      <c r="L18" s="7"/>
      <c r="M18" s="7"/>
      <c r="N18" s="7"/>
    </row>
    <row r="19">
      <c r="D19" s="6"/>
      <c r="E19" s="6"/>
      <c r="F19" s="6"/>
      <c r="G19" s="6"/>
      <c r="H19" s="6"/>
      <c r="I19" s="6"/>
      <c r="J19" s="6"/>
      <c r="K19" s="6"/>
    </row>
    <row r="20">
      <c r="A20" s="8"/>
      <c r="E20" s="7"/>
      <c r="F20" s="7"/>
      <c r="G20" s="7"/>
      <c r="H20" s="7"/>
      <c r="I20" s="7"/>
      <c r="J20" s="7"/>
      <c r="K20" s="7"/>
      <c r="S20" s="7"/>
      <c r="U20" s="7"/>
      <c r="V20" s="7"/>
      <c r="W20" s="7"/>
    </row>
    <row r="23">
      <c r="D23" s="6"/>
      <c r="E23" s="6"/>
      <c r="F23" s="6"/>
      <c r="G23" s="6"/>
      <c r="H23" s="6"/>
      <c r="I23" s="6"/>
      <c r="J23" s="6"/>
      <c r="K23" s="6"/>
      <c r="Q23" s="7"/>
    </row>
    <row r="24">
      <c r="E24" s="7"/>
      <c r="S24" s="7"/>
      <c r="U24" s="7"/>
      <c r="V24" s="7"/>
    </row>
    <row r="25">
      <c r="E25" s="7"/>
    </row>
    <row r="27">
      <c r="D27" s="6"/>
      <c r="E27" s="6"/>
      <c r="F27" s="6"/>
      <c r="G27" s="6"/>
      <c r="H27" s="6"/>
      <c r="I27" s="6"/>
      <c r="J27" s="6"/>
      <c r="K27" s="6"/>
    </row>
    <row r="28">
      <c r="E28" s="7"/>
      <c r="S28" s="7"/>
      <c r="U28" s="7"/>
      <c r="V28" s="7"/>
    </row>
    <row r="29">
      <c r="E29" s="7"/>
    </row>
    <row r="31">
      <c r="D31" s="6"/>
      <c r="E31" s="6"/>
      <c r="F31" s="6"/>
      <c r="G31" s="6"/>
      <c r="H31" s="6"/>
      <c r="I31" s="6"/>
      <c r="J31" s="6"/>
      <c r="K31" s="6"/>
    </row>
    <row r="32">
      <c r="E32" s="7"/>
      <c r="S32" s="7"/>
      <c r="U32" s="7"/>
    </row>
    <row r="33">
      <c r="E33" s="7"/>
    </row>
    <row r="36">
      <c r="D36" s="6"/>
      <c r="E36" s="14"/>
      <c r="F36" s="14"/>
      <c r="G36" s="14"/>
      <c r="H36" s="14"/>
      <c r="I36" s="14"/>
      <c r="J36" s="14"/>
      <c r="K36" s="14"/>
      <c r="S36" s="7"/>
      <c r="U36" s="7"/>
    </row>
    <row r="37">
      <c r="E37" s="7"/>
    </row>
    <row r="38">
      <c r="E38" s="7"/>
    </row>
    <row r="40">
      <c r="D40" s="6"/>
      <c r="E40" s="15"/>
      <c r="F40" s="15"/>
      <c r="G40" s="15"/>
      <c r="H40" s="15"/>
      <c r="I40" s="15"/>
      <c r="J40" s="15"/>
      <c r="K40" s="15"/>
      <c r="S40" s="7"/>
      <c r="U40" s="7"/>
    </row>
    <row r="41">
      <c r="E41" s="7"/>
    </row>
    <row r="42">
      <c r="E42" s="7"/>
    </row>
    <row r="44">
      <c r="D44" s="6"/>
      <c r="E44" s="14"/>
      <c r="F44" s="14"/>
      <c r="G44" s="14"/>
      <c r="H44" s="14"/>
      <c r="I44" s="14"/>
      <c r="J44" s="14"/>
      <c r="K44" s="14"/>
    </row>
    <row r="45">
      <c r="E45" s="7"/>
    </row>
    <row r="46">
      <c r="E46" s="7"/>
    </row>
    <row r="48">
      <c r="D48" s="6"/>
      <c r="E48" s="14"/>
      <c r="F48" s="14"/>
      <c r="G48" s="14"/>
      <c r="H48" s="14"/>
      <c r="I48" s="14"/>
      <c r="J48" s="14"/>
      <c r="K48" s="14"/>
    </row>
    <row r="49">
      <c r="E49" s="7"/>
    </row>
    <row r="50">
      <c r="E50" s="7"/>
    </row>
    <row r="52">
      <c r="D52" s="6"/>
      <c r="E52" s="14"/>
      <c r="F52" s="14"/>
      <c r="G52" s="14"/>
      <c r="H52" s="14"/>
      <c r="I52" s="14"/>
      <c r="J52" s="14"/>
      <c r="K52" s="14"/>
    </row>
    <row r="53">
      <c r="E53" s="7"/>
    </row>
    <row r="54">
      <c r="E54" s="7"/>
    </row>
    <row r="56">
      <c r="A56" s="9">
        <f>A52+7</f>
        <v>7</v>
      </c>
      <c r="B56" s="9">
        <f>B52+1</f>
        <v>1</v>
      </c>
      <c r="D56" s="6" t="str">
        <f>K52</f>
        <v/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  <c r="K56" s="14">
        <v>0.0</v>
      </c>
      <c r="L56" s="7">
        <f>min(E56:K56)</f>
        <v>0</v>
      </c>
      <c r="M56" s="7">
        <f>MAX(E56:K56)</f>
        <v>0</v>
      </c>
      <c r="N56" s="7">
        <f>M56-L56</f>
        <v>0</v>
      </c>
      <c r="O56" s="7">
        <f>K56-E56</f>
        <v>0</v>
      </c>
      <c r="P56" s="9">
        <f>O56*14</f>
        <v>0</v>
      </c>
    </row>
    <row r="57">
      <c r="D57" s="9">
        <f>D56*14</f>
        <v>0</v>
      </c>
      <c r="E57" s="7">
        <f>E56-K52</f>
        <v>0</v>
      </c>
      <c r="F57" s="7">
        <f t="shared" ref="F57:K57" si="12">F56-E56</f>
        <v>0</v>
      </c>
      <c r="G57" s="7">
        <f t="shared" si="12"/>
        <v>0</v>
      </c>
      <c r="H57" s="7">
        <f t="shared" si="12"/>
        <v>0</v>
      </c>
      <c r="I57" s="7">
        <f t="shared" si="12"/>
        <v>0</v>
      </c>
      <c r="J57" s="7">
        <f t="shared" si="12"/>
        <v>0</v>
      </c>
      <c r="K57" s="7">
        <f t="shared" si="12"/>
        <v>0</v>
      </c>
    </row>
    <row r="58">
      <c r="E58" s="7">
        <f>(K53-E57)*-1</f>
        <v>0</v>
      </c>
      <c r="F58" s="9">
        <f t="shared" ref="F58:K58" si="13">F57*14</f>
        <v>0</v>
      </c>
      <c r="G58" s="9">
        <f t="shared" si="13"/>
        <v>0</v>
      </c>
      <c r="H58" s="9">
        <f t="shared" si="13"/>
        <v>0</v>
      </c>
      <c r="I58" s="9">
        <f t="shared" si="13"/>
        <v>0</v>
      </c>
      <c r="J58" s="9">
        <f t="shared" si="13"/>
        <v>0</v>
      </c>
      <c r="K58" s="9">
        <f t="shared" si="13"/>
        <v>0</v>
      </c>
    </row>
    <row r="60">
      <c r="A60" s="9">
        <f>A56+7</f>
        <v>14</v>
      </c>
      <c r="B60" s="9">
        <f>B56+1</f>
        <v>2</v>
      </c>
      <c r="D60" s="6">
        <f>K56</f>
        <v>0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  <c r="K60" s="14">
        <v>0.0</v>
      </c>
      <c r="L60" s="7">
        <f>min(E60:K60)</f>
        <v>0</v>
      </c>
      <c r="M60" s="7">
        <f>MAX(E60:K60)</f>
        <v>0</v>
      </c>
      <c r="N60" s="7">
        <f>M60-L60</f>
        <v>0</v>
      </c>
      <c r="O60" s="7">
        <f>K60-E60</f>
        <v>0</v>
      </c>
      <c r="P60" s="9">
        <f>O60*14</f>
        <v>0</v>
      </c>
    </row>
    <row r="61">
      <c r="D61" s="9">
        <f>D60*14</f>
        <v>0</v>
      </c>
      <c r="E61" s="7">
        <f>E60-K56</f>
        <v>0</v>
      </c>
      <c r="F61" s="7">
        <f t="shared" ref="F61:K61" si="14">F60-E60</f>
        <v>0</v>
      </c>
      <c r="G61" s="7">
        <f t="shared" si="14"/>
        <v>0</v>
      </c>
      <c r="H61" s="7">
        <f t="shared" si="14"/>
        <v>0</v>
      </c>
      <c r="I61" s="7">
        <f t="shared" si="14"/>
        <v>0</v>
      </c>
      <c r="J61" s="7">
        <f t="shared" si="14"/>
        <v>0</v>
      </c>
      <c r="K61" s="7">
        <f t="shared" si="14"/>
        <v>0</v>
      </c>
    </row>
    <row r="62">
      <c r="E62" s="7">
        <f>(K57-E61)*-1</f>
        <v>0</v>
      </c>
      <c r="F62" s="9">
        <f t="shared" ref="F62:K62" si="15">F61*14</f>
        <v>0</v>
      </c>
      <c r="G62" s="9">
        <f t="shared" si="15"/>
        <v>0</v>
      </c>
      <c r="H62" s="9">
        <f t="shared" si="15"/>
        <v>0</v>
      </c>
      <c r="I62" s="9">
        <f t="shared" si="15"/>
        <v>0</v>
      </c>
      <c r="J62" s="9">
        <f t="shared" si="15"/>
        <v>0</v>
      </c>
      <c r="K62" s="9">
        <f t="shared" si="15"/>
        <v>0</v>
      </c>
      <c r="L62" s="7">
        <f>average($L$4:L60)</f>
        <v>9.926190476</v>
      </c>
      <c r="M62" s="7">
        <f>average($M$4:M60)</f>
        <v>10.25</v>
      </c>
    </row>
  </sheetData>
  <conditionalFormatting sqref="O4 O8 O12 O16 O20 O24 O28 O32 O36 O40 O44 O48 O52 O56 O60">
    <cfRule type="cellIs" dxfId="0" priority="1" operator="greaterThan">
      <formula>0</formula>
    </cfRule>
  </conditionalFormatting>
  <conditionalFormatting sqref="O4 O8 O12 O16 O20 O24 O28 O32 O36 O40 O44 O48 O52 O56 O6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 S24 S28 S32 S36 S40">
    <cfRule type="cellIs" dxfId="3" priority="4" operator="greaterThan">
      <formula>0</formula>
    </cfRule>
  </conditionalFormatting>
  <conditionalFormatting sqref="S4 S8 S12 S16 S20 S24 S28 S32 S36 S40">
    <cfRule type="cellIs" dxfId="3" priority="5" operator="greaterThan">
      <formula>0</formula>
    </cfRule>
  </conditionalFormatting>
  <conditionalFormatting sqref="S4 S8 S12 S16 S20 S24 S28 S32 S36 S40">
    <cfRule type="cellIs" dxfId="4" priority="6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3.38"/>
    <col customWidth="1" min="14" max="14" width="13.25"/>
    <col customWidth="1" min="15" max="15" width="16.63"/>
    <col customWidth="1" min="16" max="16" width="16.25"/>
    <col customWidth="1" min="19" max="19" width="17.5"/>
  </cols>
  <sheetData>
    <row r="1">
      <c r="B1" s="1" t="s">
        <v>1</v>
      </c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</row>
    <row r="2">
      <c r="C2" s="1" t="s">
        <v>32</v>
      </c>
      <c r="D2" s="1" t="s">
        <v>14</v>
      </c>
      <c r="E2" s="4" t="s">
        <v>15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22</v>
      </c>
      <c r="K2" s="4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23</v>
      </c>
      <c r="S2" s="1" t="s">
        <v>29</v>
      </c>
      <c r="T2" s="1" t="s">
        <v>30</v>
      </c>
      <c r="U2" s="1" t="s">
        <v>31</v>
      </c>
    </row>
    <row r="3">
      <c r="H3" s="7"/>
      <c r="P3" s="1"/>
      <c r="R3" s="6"/>
      <c r="U3" s="7"/>
    </row>
    <row r="4">
      <c r="A4" s="13">
        <v>45992.0</v>
      </c>
      <c r="B4" s="1">
        <v>1.0</v>
      </c>
      <c r="C4" s="1">
        <v>1.0</v>
      </c>
      <c r="D4" s="6">
        <f>November!K16</f>
        <v>14.64285714</v>
      </c>
      <c r="E4" s="6">
        <v>15.0</v>
      </c>
      <c r="F4" s="6">
        <v>15.0</v>
      </c>
      <c r="G4" s="6">
        <v>15.0</v>
      </c>
      <c r="H4" s="6">
        <v>15.0</v>
      </c>
      <c r="I4" s="6">
        <v>15.0</v>
      </c>
      <c r="J4" s="6">
        <v>15.0</v>
      </c>
      <c r="K4" s="6">
        <v>15.0</v>
      </c>
      <c r="L4" s="7">
        <f>min(E4:K4)</f>
        <v>15</v>
      </c>
      <c r="M4" s="7">
        <f>MAX(E4:K4)</f>
        <v>15</v>
      </c>
      <c r="N4" s="7">
        <f>M4-L4</f>
        <v>0</v>
      </c>
      <c r="O4" s="7">
        <f>K4-E4</f>
        <v>0</v>
      </c>
      <c r="P4" s="9">
        <f>O4*14</f>
        <v>0</v>
      </c>
      <c r="Q4" s="7">
        <f>'Goals (stn) Part 2'!I37</f>
        <v>15</v>
      </c>
      <c r="R4" s="7">
        <f>min(E4:K4)</f>
        <v>15</v>
      </c>
      <c r="S4" s="7">
        <f>Q4-R4</f>
        <v>0</v>
      </c>
      <c r="T4" s="7">
        <f>S4*14</f>
        <v>0</v>
      </c>
      <c r="U4" s="7">
        <f>AVERAGE(E4:K4)</f>
        <v>15</v>
      </c>
      <c r="V4" s="7"/>
    </row>
    <row r="5">
      <c r="D5" s="7"/>
      <c r="E5" s="7">
        <f t="shared" ref="E5:K5" si="1">E4-D4</f>
        <v>0.3571428571</v>
      </c>
      <c r="F5" s="7">
        <f t="shared" si="1"/>
        <v>0</v>
      </c>
      <c r="G5" s="7">
        <f t="shared" si="1"/>
        <v>0</v>
      </c>
      <c r="H5" s="7">
        <f t="shared" si="1"/>
        <v>0</v>
      </c>
      <c r="I5" s="7">
        <f t="shared" si="1"/>
        <v>0</v>
      </c>
      <c r="J5" s="7">
        <f t="shared" si="1"/>
        <v>0</v>
      </c>
      <c r="K5" s="7">
        <f t="shared" si="1"/>
        <v>0</v>
      </c>
      <c r="L5" s="7"/>
      <c r="M5" s="7"/>
      <c r="N5" s="7"/>
      <c r="T5" s="7"/>
    </row>
    <row r="6">
      <c r="D6" s="7"/>
      <c r="E6" s="7">
        <f t="shared" ref="E6:K6" si="2">E5*14</f>
        <v>5</v>
      </c>
      <c r="F6" s="7">
        <f t="shared" si="2"/>
        <v>0</v>
      </c>
      <c r="G6" s="7">
        <f t="shared" si="2"/>
        <v>0</v>
      </c>
      <c r="H6" s="7">
        <f t="shared" si="2"/>
        <v>0</v>
      </c>
      <c r="I6" s="7">
        <f t="shared" si="2"/>
        <v>0</v>
      </c>
      <c r="J6" s="7">
        <f t="shared" si="2"/>
        <v>0</v>
      </c>
      <c r="K6" s="7">
        <f t="shared" si="2"/>
        <v>0</v>
      </c>
      <c r="L6" s="7"/>
      <c r="M6" s="7"/>
      <c r="N6" s="7"/>
      <c r="T6" s="7"/>
    </row>
    <row r="7">
      <c r="D7" s="7"/>
      <c r="E7" s="7"/>
      <c r="F7" s="7"/>
      <c r="G7" s="7"/>
      <c r="H7" s="7"/>
      <c r="I7" s="7"/>
      <c r="J7" s="7"/>
      <c r="K7" s="7"/>
      <c r="L7" s="7"/>
      <c r="M7" s="7"/>
      <c r="N7" s="7"/>
      <c r="T7" s="7"/>
    </row>
    <row r="8">
      <c r="A8" s="8">
        <f>A4+7</f>
        <v>45999</v>
      </c>
      <c r="B8" s="9">
        <f>B4+1</f>
        <v>2</v>
      </c>
      <c r="C8" s="1">
        <v>1.0</v>
      </c>
      <c r="D8" s="6">
        <f>K4</f>
        <v>15</v>
      </c>
      <c r="E8" s="6">
        <v>15.5</v>
      </c>
      <c r="F8" s="6">
        <v>15.5</v>
      </c>
      <c r="G8" s="6">
        <v>15.0</v>
      </c>
      <c r="H8" s="6">
        <v>15.0</v>
      </c>
      <c r="I8" s="6">
        <v>15.0</v>
      </c>
      <c r="J8" s="6">
        <v>15.0</v>
      </c>
      <c r="K8" s="6">
        <v>15.0</v>
      </c>
      <c r="L8" s="7">
        <f>min(E8:K8)</f>
        <v>15</v>
      </c>
      <c r="M8" s="7">
        <f>MAX(E8:K8)</f>
        <v>15.5</v>
      </c>
      <c r="N8" s="7">
        <f>M8-L8</f>
        <v>0.5</v>
      </c>
      <c r="O8" s="7">
        <f>K8-E8</f>
        <v>-0.5</v>
      </c>
      <c r="P8" s="9">
        <f>O8*14</f>
        <v>-7</v>
      </c>
      <c r="Q8" s="7">
        <f>'Goals (stn) Part 2'!I38</f>
        <v>15</v>
      </c>
      <c r="R8" s="7">
        <f>min(E8:K8)</f>
        <v>15</v>
      </c>
      <c r="S8" s="7">
        <f>Q8-R8</f>
        <v>0</v>
      </c>
      <c r="T8" s="7">
        <f>S8*14</f>
        <v>0</v>
      </c>
      <c r="U8" s="7">
        <f>AVERAGE(E8:K8)</f>
        <v>15.14285714</v>
      </c>
      <c r="V8" s="7">
        <f>-1*(U4-U8)</f>
        <v>0.1428571429</v>
      </c>
      <c r="W8" s="7">
        <f>V8*14</f>
        <v>2</v>
      </c>
    </row>
    <row r="9">
      <c r="D9" s="7"/>
      <c r="E9" s="7">
        <f t="shared" ref="E9:K9" si="3">E8-D8</f>
        <v>0.5</v>
      </c>
      <c r="F9" s="7">
        <f t="shared" si="3"/>
        <v>0</v>
      </c>
      <c r="G9" s="7">
        <f t="shared" si="3"/>
        <v>-0.5</v>
      </c>
      <c r="H9" s="7">
        <f t="shared" si="3"/>
        <v>0</v>
      </c>
      <c r="I9" s="7">
        <f t="shared" si="3"/>
        <v>0</v>
      </c>
      <c r="J9" s="7">
        <f t="shared" si="3"/>
        <v>0</v>
      </c>
      <c r="K9" s="7">
        <f t="shared" si="3"/>
        <v>0</v>
      </c>
      <c r="L9" s="7"/>
      <c r="M9" s="7"/>
      <c r="N9" s="7"/>
      <c r="T9" s="7"/>
    </row>
    <row r="10">
      <c r="D10" s="7"/>
      <c r="E10" s="7">
        <f t="shared" ref="E10:K10" si="4">E9*14</f>
        <v>7</v>
      </c>
      <c r="F10" s="7">
        <f t="shared" si="4"/>
        <v>0</v>
      </c>
      <c r="G10" s="7">
        <f t="shared" si="4"/>
        <v>-7</v>
      </c>
      <c r="H10" s="7">
        <f t="shared" si="4"/>
        <v>0</v>
      </c>
      <c r="I10" s="7">
        <f t="shared" si="4"/>
        <v>0</v>
      </c>
      <c r="J10" s="7">
        <f t="shared" si="4"/>
        <v>0</v>
      </c>
      <c r="K10" s="7">
        <f t="shared" si="4"/>
        <v>0</v>
      </c>
      <c r="L10" s="7"/>
      <c r="M10" s="7"/>
      <c r="N10" s="7"/>
      <c r="T10" s="7"/>
    </row>
    <row r="11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T11" s="7"/>
    </row>
    <row r="12">
      <c r="A12" s="8">
        <f>A8+7</f>
        <v>46006</v>
      </c>
      <c r="B12" s="9">
        <f>B8+1</f>
        <v>3</v>
      </c>
      <c r="C12" s="1">
        <v>1.0</v>
      </c>
      <c r="D12" s="7">
        <f>K8</f>
        <v>15</v>
      </c>
      <c r="E12" s="6">
        <v>15.5</v>
      </c>
      <c r="F12" s="6">
        <v>15.25</v>
      </c>
      <c r="G12" s="6">
        <v>15.0</v>
      </c>
      <c r="H12" s="6">
        <f>14 +9.4/14</f>
        <v>14.67142857</v>
      </c>
      <c r="I12" s="6">
        <f>14 +7.4/14</f>
        <v>14.52857143</v>
      </c>
      <c r="J12" s="6">
        <f>14 +11.4/14</f>
        <v>14.81428571</v>
      </c>
      <c r="K12" s="6">
        <f>14 +13/14</f>
        <v>14.92857143</v>
      </c>
      <c r="L12" s="6">
        <f>14+ 13.2/14</f>
        <v>14.94285714</v>
      </c>
      <c r="M12" s="7">
        <f>MAX(E12:K12)</f>
        <v>15.5</v>
      </c>
      <c r="N12" s="7">
        <f>M12-L12</f>
        <v>0.5571428571</v>
      </c>
      <c r="O12" s="7">
        <f>K12-E12</f>
        <v>-0.5714285714</v>
      </c>
      <c r="P12" s="9">
        <f>O12*14</f>
        <v>-8</v>
      </c>
      <c r="Q12" s="7">
        <f>'Goals (stn) Part 2'!I39</f>
        <v>15</v>
      </c>
      <c r="R12" s="7">
        <f>min(E12:K12)</f>
        <v>14.52857143</v>
      </c>
      <c r="S12" s="7">
        <f>Q12-R12</f>
        <v>0.4714285714</v>
      </c>
      <c r="T12" s="7">
        <f>S12*14</f>
        <v>6.6</v>
      </c>
      <c r="U12" s="7">
        <f>AVERAGE(E12:K12)</f>
        <v>14.95612245</v>
      </c>
      <c r="V12" s="7">
        <f>-1*(U8-U12)</f>
        <v>-0.1867346939</v>
      </c>
      <c r="W12" s="7">
        <f>V12*14</f>
        <v>-2.614285714</v>
      </c>
    </row>
    <row r="13">
      <c r="D13" s="7"/>
      <c r="E13" s="7">
        <f t="shared" ref="E13:K13" si="5">E12-D12</f>
        <v>0.5</v>
      </c>
      <c r="F13" s="7">
        <f t="shared" si="5"/>
        <v>-0.25</v>
      </c>
      <c r="G13" s="7">
        <f t="shared" si="5"/>
        <v>-0.25</v>
      </c>
      <c r="H13" s="7">
        <f t="shared" si="5"/>
        <v>-0.3285714286</v>
      </c>
      <c r="I13" s="7">
        <f t="shared" si="5"/>
        <v>-0.1428571429</v>
      </c>
      <c r="J13" s="7">
        <f t="shared" si="5"/>
        <v>0.2857142857</v>
      </c>
      <c r="K13" s="7">
        <f t="shared" si="5"/>
        <v>0.1142857143</v>
      </c>
      <c r="L13" s="7"/>
      <c r="M13" s="7"/>
      <c r="N13" s="7"/>
      <c r="T13" s="7"/>
    </row>
    <row r="14">
      <c r="D14" s="7"/>
      <c r="E14" s="7">
        <f t="shared" ref="E14:K14" si="6">E13*14</f>
        <v>7</v>
      </c>
      <c r="F14" s="7">
        <f t="shared" si="6"/>
        <v>-3.5</v>
      </c>
      <c r="G14" s="7">
        <f t="shared" si="6"/>
        <v>-3.5</v>
      </c>
      <c r="H14" s="7">
        <f t="shared" si="6"/>
        <v>-4.6</v>
      </c>
      <c r="I14" s="7">
        <f t="shared" si="6"/>
        <v>-2</v>
      </c>
      <c r="J14" s="7">
        <f t="shared" si="6"/>
        <v>4</v>
      </c>
      <c r="K14" s="7">
        <f t="shared" si="6"/>
        <v>1.6</v>
      </c>
      <c r="L14" s="7"/>
      <c r="M14" s="7"/>
      <c r="N14" s="7"/>
      <c r="T14" s="7"/>
    </row>
    <row r="15"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T15" s="7"/>
    </row>
    <row r="16">
      <c r="A16" s="8">
        <f>A12+7</f>
        <v>46013</v>
      </c>
      <c r="B16" s="9">
        <f>B12+1</f>
        <v>4</v>
      </c>
      <c r="C16" s="1">
        <v>1.0</v>
      </c>
      <c r="D16" s="7">
        <f>K12</f>
        <v>14.92857143</v>
      </c>
      <c r="E16" s="6">
        <f t="shared" ref="E16:F16" si="7">14 + 0.75</f>
        <v>14.75</v>
      </c>
      <c r="F16" s="6">
        <f t="shared" si="7"/>
        <v>14.75</v>
      </c>
      <c r="G16" s="6">
        <f>14 + 9/14</f>
        <v>14.64285714</v>
      </c>
      <c r="H16" s="6">
        <v>15.0</v>
      </c>
      <c r="I16" s="6">
        <v>15.0</v>
      </c>
      <c r="J16" s="6">
        <f t="shared" ref="J16:K16" si="8">14 + 9/14</f>
        <v>14.64285714</v>
      </c>
      <c r="K16" s="6">
        <f t="shared" si="8"/>
        <v>14.64285714</v>
      </c>
      <c r="L16" s="7">
        <f>min(E16:K16)</f>
        <v>14.64285714</v>
      </c>
      <c r="M16" s="7">
        <f>MAX(E16:K16)</f>
        <v>15</v>
      </c>
      <c r="N16" s="7">
        <f>M16-L16</f>
        <v>0.3571428571</v>
      </c>
      <c r="O16" s="7">
        <f>K16-E16</f>
        <v>-0.1071428571</v>
      </c>
      <c r="P16" s="9">
        <f>O16*14</f>
        <v>-1.5</v>
      </c>
      <c r="Q16" s="7">
        <f>'Goals (stn) Part 2'!I40</f>
        <v>15</v>
      </c>
      <c r="R16" s="7">
        <f>min(E16:K16)</f>
        <v>14.64285714</v>
      </c>
      <c r="S16" s="7">
        <f>Q16-R16</f>
        <v>0.3571428571</v>
      </c>
      <c r="T16" s="7">
        <f>S16*14</f>
        <v>5</v>
      </c>
      <c r="U16" s="7">
        <f>AVERAGE(E16:K16)</f>
        <v>14.7755102</v>
      </c>
      <c r="V16" s="7">
        <f>-1*(U12-U16)</f>
        <v>-0.1806122449</v>
      </c>
      <c r="W16" s="7">
        <f>V16*14</f>
        <v>-2.528571429</v>
      </c>
    </row>
    <row r="17">
      <c r="D17" s="7"/>
      <c r="E17" s="7">
        <f t="shared" ref="E17:K17" si="9">E16-D16</f>
        <v>-0.1785714286</v>
      </c>
      <c r="F17" s="7">
        <f t="shared" si="9"/>
        <v>0</v>
      </c>
      <c r="G17" s="7">
        <f t="shared" si="9"/>
        <v>-0.1071428571</v>
      </c>
      <c r="H17" s="7">
        <f t="shared" si="9"/>
        <v>0.3571428571</v>
      </c>
      <c r="I17" s="7">
        <f t="shared" si="9"/>
        <v>0</v>
      </c>
      <c r="J17" s="7">
        <f t="shared" si="9"/>
        <v>-0.3571428571</v>
      </c>
      <c r="K17" s="7">
        <f t="shared" si="9"/>
        <v>0</v>
      </c>
      <c r="L17" s="7"/>
      <c r="M17" s="7"/>
      <c r="N17" s="7"/>
    </row>
    <row r="18">
      <c r="D18" s="7"/>
      <c r="E18" s="7">
        <f t="shared" ref="E18:K18" si="10">E17*14</f>
        <v>-2.5</v>
      </c>
      <c r="F18" s="7">
        <f t="shared" si="10"/>
        <v>0</v>
      </c>
      <c r="G18" s="7">
        <f t="shared" si="10"/>
        <v>-1.5</v>
      </c>
      <c r="H18" s="7">
        <f t="shared" si="10"/>
        <v>5</v>
      </c>
      <c r="I18" s="7">
        <f t="shared" si="10"/>
        <v>0</v>
      </c>
      <c r="J18" s="7">
        <f t="shared" si="10"/>
        <v>-5</v>
      </c>
      <c r="K18" s="7">
        <f t="shared" si="10"/>
        <v>0</v>
      </c>
      <c r="L18" s="7"/>
      <c r="M18" s="7"/>
      <c r="N18" s="7"/>
    </row>
    <row r="19">
      <c r="D19" s="6"/>
      <c r="E19" s="6"/>
      <c r="F19" s="6"/>
      <c r="G19" s="6"/>
      <c r="H19" s="6"/>
      <c r="I19" s="6"/>
      <c r="J19" s="6"/>
      <c r="K19" s="6"/>
    </row>
    <row r="20">
      <c r="A20" s="8"/>
      <c r="E20" s="7"/>
      <c r="F20" s="7"/>
      <c r="G20" s="7"/>
      <c r="H20" s="7"/>
      <c r="I20" s="7"/>
      <c r="J20" s="7"/>
      <c r="K20" s="7"/>
      <c r="S20" s="7"/>
      <c r="U20" s="7"/>
      <c r="V20" s="7"/>
      <c r="W20" s="7"/>
    </row>
    <row r="21">
      <c r="A21" s="8">
        <f>A16+7</f>
        <v>46020</v>
      </c>
      <c r="B21" s="1">
        <v>5.0</v>
      </c>
      <c r="C21" s="1">
        <v>1.0</v>
      </c>
      <c r="D21" s="7">
        <f>K17</f>
        <v>0</v>
      </c>
      <c r="E21" s="6">
        <f t="shared" ref="E21:F21" si="11">14 + 0.75</f>
        <v>14.75</v>
      </c>
      <c r="F21" s="6">
        <f t="shared" si="11"/>
        <v>14.75</v>
      </c>
      <c r="G21" s="6">
        <f>14 + 9/14</f>
        <v>14.64285714</v>
      </c>
      <c r="H21" s="6">
        <v>15.0</v>
      </c>
      <c r="I21" s="6">
        <v>15.0</v>
      </c>
      <c r="J21" s="6">
        <f t="shared" ref="J21:K21" si="12">14 + 9/14</f>
        <v>14.64285714</v>
      </c>
      <c r="K21" s="6">
        <f t="shared" si="12"/>
        <v>14.64285714</v>
      </c>
      <c r="L21" s="7">
        <f>min(E21:K21)</f>
        <v>14.64285714</v>
      </c>
      <c r="M21" s="7">
        <f>MAX(E21:K21)</f>
        <v>15</v>
      </c>
      <c r="N21" s="7">
        <f>M21-L21</f>
        <v>0.3571428571</v>
      </c>
      <c r="O21" s="7">
        <f>K21-E21</f>
        <v>-0.1071428571</v>
      </c>
      <c r="P21" s="9">
        <f>O21*14</f>
        <v>-1.5</v>
      </c>
      <c r="Q21" s="7">
        <f>'Goals (stn) Part 2'!I41</f>
        <v>15</v>
      </c>
      <c r="R21" s="7">
        <f>min(E21:K21)</f>
        <v>14.64285714</v>
      </c>
      <c r="S21" s="7">
        <f>Q21-R21</f>
        <v>0.3571428571</v>
      </c>
      <c r="T21" s="7">
        <f>S21*14</f>
        <v>5</v>
      </c>
      <c r="U21" s="7">
        <f>AVERAGE(E21:K21)</f>
        <v>14.7755102</v>
      </c>
      <c r="V21" s="7">
        <f>-1*(U17-U21)</f>
        <v>14.7755102</v>
      </c>
      <c r="W21" s="7">
        <f>V21*14</f>
        <v>206.8571429</v>
      </c>
    </row>
    <row r="22">
      <c r="D22" s="7"/>
      <c r="E22" s="7">
        <f t="shared" ref="E22:K22" si="13">E21-D21</f>
        <v>14.75</v>
      </c>
      <c r="F22" s="7">
        <f t="shared" si="13"/>
        <v>0</v>
      </c>
      <c r="G22" s="7">
        <f t="shared" si="13"/>
        <v>-0.1071428571</v>
      </c>
      <c r="H22" s="7">
        <f t="shared" si="13"/>
        <v>0.3571428571</v>
      </c>
      <c r="I22" s="7">
        <f t="shared" si="13"/>
        <v>0</v>
      </c>
      <c r="J22" s="7">
        <f t="shared" si="13"/>
        <v>-0.3571428571</v>
      </c>
      <c r="K22" s="7">
        <f t="shared" si="13"/>
        <v>0</v>
      </c>
      <c r="L22" s="7"/>
      <c r="M22" s="7"/>
      <c r="N22" s="7"/>
    </row>
    <row r="23">
      <c r="D23" s="7"/>
      <c r="E23" s="7">
        <f t="shared" ref="E23:K23" si="14">E22*14</f>
        <v>206.5</v>
      </c>
      <c r="F23" s="7">
        <f t="shared" si="14"/>
        <v>0</v>
      </c>
      <c r="G23" s="7">
        <f t="shared" si="14"/>
        <v>-1.5</v>
      </c>
      <c r="H23" s="7">
        <f t="shared" si="14"/>
        <v>5</v>
      </c>
      <c r="I23" s="7">
        <f t="shared" si="14"/>
        <v>0</v>
      </c>
      <c r="J23" s="7">
        <f t="shared" si="14"/>
        <v>-5</v>
      </c>
      <c r="K23" s="7">
        <f t="shared" si="14"/>
        <v>0</v>
      </c>
      <c r="L23" s="7"/>
      <c r="M23" s="7"/>
      <c r="N23" s="7"/>
    </row>
    <row r="24">
      <c r="E24" s="7"/>
      <c r="S24" s="7"/>
      <c r="U24" s="7"/>
      <c r="V24" s="7"/>
    </row>
    <row r="25">
      <c r="E25" s="7"/>
    </row>
    <row r="27">
      <c r="D27" s="6"/>
      <c r="E27" s="6"/>
      <c r="F27" s="6"/>
      <c r="G27" s="6"/>
      <c r="H27" s="6"/>
      <c r="I27" s="6"/>
      <c r="J27" s="6"/>
      <c r="K27" s="6"/>
    </row>
    <row r="28">
      <c r="E28" s="7"/>
      <c r="S28" s="7"/>
      <c r="U28" s="7"/>
      <c r="V28" s="7"/>
    </row>
    <row r="29">
      <c r="E29" s="7"/>
    </row>
    <row r="31">
      <c r="D31" s="6"/>
      <c r="E31" s="6"/>
      <c r="F31" s="6"/>
      <c r="G31" s="6"/>
      <c r="H31" s="6"/>
      <c r="I31" s="6"/>
      <c r="J31" s="6"/>
      <c r="K31" s="6"/>
    </row>
    <row r="32">
      <c r="E32" s="7"/>
      <c r="S32" s="7"/>
      <c r="U32" s="7"/>
    </row>
    <row r="33">
      <c r="E33" s="7"/>
    </row>
    <row r="36">
      <c r="D36" s="6"/>
      <c r="E36" s="14"/>
      <c r="F36" s="14"/>
      <c r="G36" s="14"/>
      <c r="H36" s="14"/>
      <c r="I36" s="14"/>
      <c r="J36" s="14"/>
      <c r="K36" s="14"/>
      <c r="S36" s="7"/>
      <c r="U36" s="7"/>
    </row>
    <row r="37">
      <c r="E37" s="7"/>
    </row>
    <row r="38">
      <c r="E38" s="7"/>
    </row>
    <row r="40">
      <c r="D40" s="6"/>
      <c r="E40" s="15"/>
      <c r="F40" s="15"/>
      <c r="G40" s="15"/>
      <c r="H40" s="15"/>
      <c r="I40" s="15"/>
      <c r="J40" s="15"/>
      <c r="K40" s="15"/>
      <c r="S40" s="7"/>
      <c r="U40" s="7"/>
    </row>
    <row r="41">
      <c r="E41" s="7"/>
    </row>
    <row r="42">
      <c r="E42" s="7"/>
    </row>
    <row r="44">
      <c r="D44" s="6"/>
      <c r="E44" s="14"/>
      <c r="F44" s="14"/>
      <c r="G44" s="14"/>
      <c r="H44" s="14"/>
      <c r="I44" s="14"/>
      <c r="J44" s="14"/>
      <c r="K44" s="14"/>
    </row>
    <row r="45">
      <c r="E45" s="7"/>
    </row>
    <row r="46">
      <c r="E46" s="7"/>
    </row>
    <row r="48">
      <c r="D48" s="6"/>
      <c r="E48" s="14"/>
      <c r="F48" s="14"/>
      <c r="G48" s="14"/>
      <c r="H48" s="14"/>
      <c r="I48" s="14"/>
      <c r="J48" s="14"/>
      <c r="K48" s="14"/>
    </row>
    <row r="49">
      <c r="E49" s="7"/>
    </row>
    <row r="50">
      <c r="E50" s="7"/>
    </row>
    <row r="52">
      <c r="D52" s="6"/>
      <c r="E52" s="14"/>
      <c r="F52" s="14"/>
      <c r="G52" s="14"/>
      <c r="H52" s="14"/>
      <c r="I52" s="14"/>
      <c r="J52" s="14"/>
      <c r="K52" s="14"/>
    </row>
    <row r="53">
      <c r="E53" s="7"/>
    </row>
    <row r="54">
      <c r="E54" s="7"/>
    </row>
    <row r="56">
      <c r="A56" s="9">
        <f>A52+7</f>
        <v>7</v>
      </c>
      <c r="B56" s="9">
        <f>B52+1</f>
        <v>1</v>
      </c>
      <c r="D56" s="6" t="str">
        <f>K52</f>
        <v/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  <c r="K56" s="14">
        <v>0.0</v>
      </c>
      <c r="L56" s="7">
        <f>min(E56:K56)</f>
        <v>0</v>
      </c>
      <c r="M56" s="7">
        <f>MAX(E56:K56)</f>
        <v>0</v>
      </c>
      <c r="N56" s="7">
        <f>M56-L56</f>
        <v>0</v>
      </c>
      <c r="O56" s="7">
        <f>K56-E56</f>
        <v>0</v>
      </c>
      <c r="P56" s="9">
        <f>O56*14</f>
        <v>0</v>
      </c>
    </row>
    <row r="57">
      <c r="D57" s="9">
        <f>D56*14</f>
        <v>0</v>
      </c>
      <c r="E57" s="7">
        <f>E56-K52</f>
        <v>0</v>
      </c>
      <c r="F57" s="7">
        <f t="shared" ref="F57:K57" si="15">F56-E56</f>
        <v>0</v>
      </c>
      <c r="G57" s="7">
        <f t="shared" si="15"/>
        <v>0</v>
      </c>
      <c r="H57" s="7">
        <f t="shared" si="15"/>
        <v>0</v>
      </c>
      <c r="I57" s="7">
        <f t="shared" si="15"/>
        <v>0</v>
      </c>
      <c r="J57" s="7">
        <f t="shared" si="15"/>
        <v>0</v>
      </c>
      <c r="K57" s="7">
        <f t="shared" si="15"/>
        <v>0</v>
      </c>
    </row>
    <row r="58">
      <c r="E58" s="7">
        <f>(K53-E57)*-1</f>
        <v>0</v>
      </c>
      <c r="F58" s="9">
        <f t="shared" ref="F58:K58" si="16">F57*14</f>
        <v>0</v>
      </c>
      <c r="G58" s="9">
        <f t="shared" si="16"/>
        <v>0</v>
      </c>
      <c r="H58" s="9">
        <f t="shared" si="16"/>
        <v>0</v>
      </c>
      <c r="I58" s="9">
        <f t="shared" si="16"/>
        <v>0</v>
      </c>
      <c r="J58" s="9">
        <f t="shared" si="16"/>
        <v>0</v>
      </c>
      <c r="K58" s="9">
        <f t="shared" si="16"/>
        <v>0</v>
      </c>
    </row>
    <row r="60">
      <c r="A60" s="9">
        <f>A56+7</f>
        <v>14</v>
      </c>
      <c r="B60" s="9">
        <f>B56+1</f>
        <v>2</v>
      </c>
      <c r="D60" s="6">
        <f>K56</f>
        <v>0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  <c r="K60" s="14">
        <v>0.0</v>
      </c>
      <c r="L60" s="7">
        <f>min(E60:K60)</f>
        <v>0</v>
      </c>
      <c r="M60" s="7">
        <f>MAX(E60:K60)</f>
        <v>0</v>
      </c>
      <c r="N60" s="7">
        <f>M60-L60</f>
        <v>0</v>
      </c>
      <c r="O60" s="7">
        <f>K60-E60</f>
        <v>0</v>
      </c>
      <c r="P60" s="9">
        <f>O60*14</f>
        <v>0</v>
      </c>
    </row>
    <row r="61">
      <c r="D61" s="9">
        <f>D60*14</f>
        <v>0</v>
      </c>
      <c r="E61" s="7">
        <f>E60-K56</f>
        <v>0</v>
      </c>
      <c r="F61" s="7">
        <f t="shared" ref="F61:K61" si="17">F60-E60</f>
        <v>0</v>
      </c>
      <c r="G61" s="7">
        <f t="shared" si="17"/>
        <v>0</v>
      </c>
      <c r="H61" s="7">
        <f t="shared" si="17"/>
        <v>0</v>
      </c>
      <c r="I61" s="7">
        <f t="shared" si="17"/>
        <v>0</v>
      </c>
      <c r="J61" s="7">
        <f t="shared" si="17"/>
        <v>0</v>
      </c>
      <c r="K61" s="7">
        <f t="shared" si="17"/>
        <v>0</v>
      </c>
    </row>
    <row r="62">
      <c r="E62" s="7">
        <f>(K57-E61)*-1</f>
        <v>0</v>
      </c>
      <c r="F62" s="9">
        <f t="shared" ref="F62:K62" si="18">F61*14</f>
        <v>0</v>
      </c>
      <c r="G62" s="9">
        <f t="shared" si="18"/>
        <v>0</v>
      </c>
      <c r="H62" s="9">
        <f t="shared" si="18"/>
        <v>0</v>
      </c>
      <c r="I62" s="9">
        <f t="shared" si="18"/>
        <v>0</v>
      </c>
      <c r="J62" s="9">
        <f t="shared" si="18"/>
        <v>0</v>
      </c>
      <c r="K62" s="9">
        <f t="shared" si="18"/>
        <v>0</v>
      </c>
      <c r="L62" s="7">
        <f>average($L$4:L60)</f>
        <v>10.60408163</v>
      </c>
      <c r="M62" s="7">
        <f>average($M$4:M60)</f>
        <v>10.85714286</v>
      </c>
    </row>
  </sheetData>
  <conditionalFormatting sqref="O4 O8 O12 O16 O20:O21 O24 O28 O32 O36 O40 O44 O48 O52 O56 O60">
    <cfRule type="cellIs" dxfId="0" priority="1" operator="greaterThan">
      <formula>0</formula>
    </cfRule>
  </conditionalFormatting>
  <conditionalFormatting sqref="O4 O8 O12 O16 O20:O21 O24 O28 O32 O36 O40 O44 O48 O52 O56 O60">
    <cfRule type="cellIs" dxfId="1" priority="2" operator="lessThan">
      <formula>0</formula>
    </cfRule>
  </conditionalFormatting>
  <conditionalFormatting sqref="O8 O12 O16 O20:O21">
    <cfRule type="notContainsBlanks" dxfId="2" priority="3">
      <formula>LEN(TRIM(O8))&gt;0</formula>
    </cfRule>
  </conditionalFormatting>
  <conditionalFormatting sqref="S4 S8 S12 S16 S20:S21 S24 S28 S32 S36 S40">
    <cfRule type="cellIs" dxfId="3" priority="4" operator="greaterThan">
      <formula>0</formula>
    </cfRule>
  </conditionalFormatting>
  <conditionalFormatting sqref="S4 S8 S12 S16 S20:S21 S24 S28 S32 S36 S40">
    <cfRule type="cellIs" dxfId="3" priority="5" operator="greaterThan">
      <formula>0</formula>
    </cfRule>
  </conditionalFormatting>
  <conditionalFormatting sqref="S4 S8 S12 S16 S20:S21 S24 S28 S32 S36 S40">
    <cfRule type="cellIs" dxfId="4" priority="6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/>
      <c r="E1" s="1"/>
      <c r="F1" s="1"/>
      <c r="G1" s="1"/>
      <c r="H1" s="1"/>
      <c r="I1" s="1"/>
      <c r="J1" s="1"/>
      <c r="K1" s="1"/>
    </row>
    <row r="2">
      <c r="A2" s="1" t="s">
        <v>34</v>
      </c>
      <c r="B2" s="1" t="s">
        <v>35</v>
      </c>
      <c r="C2" s="1" t="s">
        <v>36</v>
      </c>
      <c r="D2" s="1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/>
      <c r="O2" s="2"/>
      <c r="P2" s="2"/>
      <c r="Q2" s="2"/>
    </row>
    <row r="3">
      <c r="A3" s="1"/>
      <c r="B3" s="1"/>
      <c r="C3" s="10"/>
      <c r="D3" s="6"/>
      <c r="M3" s="7"/>
      <c r="N3" s="7"/>
      <c r="O3" s="6"/>
      <c r="P3" s="6"/>
      <c r="Q3" s="6"/>
      <c r="S3" s="6" t="s">
        <v>47</v>
      </c>
    </row>
    <row r="4">
      <c r="A4" s="1" t="s">
        <v>48</v>
      </c>
      <c r="B4" s="1">
        <f>'Goals (stn) Part 2'!B5</f>
        <v>13</v>
      </c>
      <c r="C4" s="10">
        <v>45810.0</v>
      </c>
      <c r="D4" s="6"/>
      <c r="E4" s="1">
        <f>'June 2025'!E4</f>
        <v>17</v>
      </c>
      <c r="F4" s="6">
        <f>'June 2025'!F4</f>
        <v>16.61428571</v>
      </c>
      <c r="G4" s="6">
        <f>'June 2025'!G4</f>
        <v>16.61428571</v>
      </c>
      <c r="H4" s="6">
        <f>'June 2025'!H4</f>
        <v>16.61428571</v>
      </c>
      <c r="I4" s="6">
        <f>'June 2025'!I4</f>
        <v>16.7125</v>
      </c>
      <c r="J4" s="1">
        <f>'June 2025'!J4</f>
        <v>17</v>
      </c>
      <c r="K4" s="1">
        <f>'June 2025'!K4</f>
        <v>16.7</v>
      </c>
      <c r="L4" s="7">
        <f t="shared" ref="L4:L8" si="1">min(E4:K4)</f>
        <v>16.61428571</v>
      </c>
      <c r="M4" s="7">
        <f t="shared" ref="M4:M8" si="2">MAX(E4:K4)</f>
        <v>17</v>
      </c>
      <c r="N4" s="7"/>
      <c r="O4" s="6"/>
      <c r="P4" s="6"/>
      <c r="Q4" s="6"/>
      <c r="S4" s="6" t="s">
        <v>47</v>
      </c>
    </row>
    <row r="5">
      <c r="A5" s="1"/>
      <c r="B5" s="1">
        <f>'Goals (stn) Part 2'!B6</f>
        <v>14</v>
      </c>
      <c r="C5" s="10">
        <f t="shared" ref="C5:C8" si="3">C4+7</f>
        <v>45817</v>
      </c>
      <c r="D5" s="6"/>
      <c r="E5" s="6">
        <f>'June 2025'!E8</f>
        <v>17</v>
      </c>
      <c r="F5" s="6">
        <f>'June 2025'!F8</f>
        <v>17</v>
      </c>
      <c r="G5" s="6">
        <f>'June 2025'!G8</f>
        <v>16.74285714</v>
      </c>
      <c r="H5" s="6">
        <f>'June 2025'!H8</f>
        <v>16.42857143</v>
      </c>
      <c r="I5" s="6">
        <f>'June 2025'!I8</f>
        <v>16.22857143</v>
      </c>
      <c r="J5" s="6">
        <f>'June 2025'!J8</f>
        <v>16.15714286</v>
      </c>
      <c r="K5" s="6">
        <f>'June 2025'!K8</f>
        <v>16.35714286</v>
      </c>
      <c r="L5" s="7">
        <f t="shared" si="1"/>
        <v>16.15714286</v>
      </c>
      <c r="M5" s="7">
        <f t="shared" si="2"/>
        <v>17</v>
      </c>
      <c r="N5" s="7"/>
      <c r="O5" s="6"/>
      <c r="P5" s="6"/>
      <c r="Q5" s="6"/>
    </row>
    <row r="6">
      <c r="A6" s="1"/>
      <c r="B6" s="1">
        <f>'Goals (stn) Part 2'!B7</f>
        <v>15</v>
      </c>
      <c r="C6" s="10">
        <f t="shared" si="3"/>
        <v>45824</v>
      </c>
      <c r="D6" s="6"/>
      <c r="E6" s="7">
        <f>'June 2025'!E12</f>
        <v>16.58571429</v>
      </c>
      <c r="F6" s="7">
        <f>'June 2025'!F12</f>
        <v>16.72857143</v>
      </c>
      <c r="G6" s="7">
        <f>'June 2025'!G12</f>
        <v>16.81428571</v>
      </c>
      <c r="H6" s="7">
        <f>'June 2025'!H12</f>
        <v>16.58571429</v>
      </c>
      <c r="I6" s="7">
        <f>'June 2025'!I12</f>
        <v>16.94285714</v>
      </c>
      <c r="J6" s="7">
        <f>'June 2025'!J12</f>
        <v>16.58571429</v>
      </c>
      <c r="K6" s="7">
        <f>'June 2025'!K12</f>
        <v>16.71428571</v>
      </c>
      <c r="L6" s="7">
        <f t="shared" si="1"/>
        <v>16.58571429</v>
      </c>
      <c r="M6" s="7">
        <f t="shared" si="2"/>
        <v>16.94285714</v>
      </c>
      <c r="N6" s="7"/>
      <c r="O6" s="7"/>
      <c r="P6" s="7"/>
      <c r="Q6" s="7"/>
    </row>
    <row r="7">
      <c r="A7" s="1"/>
      <c r="B7" s="1">
        <f>'Goals (stn) Part 2'!B8</f>
        <v>16</v>
      </c>
      <c r="C7" s="10">
        <f t="shared" si="3"/>
        <v>45831</v>
      </c>
      <c r="D7" s="6"/>
      <c r="E7" s="7">
        <f>'June 2025'!E16</f>
        <v>16.8</v>
      </c>
      <c r="F7" s="7">
        <f>'June 2025'!F16</f>
        <v>16.75714286</v>
      </c>
      <c r="G7" s="7">
        <f>'June 2025'!G16</f>
        <v>16.72857143</v>
      </c>
      <c r="H7" s="7">
        <f>'June 2025'!H16</f>
        <v>16.57142857</v>
      </c>
      <c r="I7" s="7">
        <f>'June 2025'!I16</f>
        <v>16.51428571</v>
      </c>
      <c r="J7" s="7">
        <f>'June 2025'!J16</f>
        <v>16.51428571</v>
      </c>
      <c r="K7" s="7">
        <f>'June 2025'!K16</f>
        <v>16.51428571</v>
      </c>
      <c r="L7" s="7">
        <f t="shared" si="1"/>
        <v>16.51428571</v>
      </c>
      <c r="M7" s="7">
        <f t="shared" si="2"/>
        <v>16.8</v>
      </c>
      <c r="N7" s="7"/>
      <c r="O7" s="6"/>
      <c r="P7" s="7"/>
      <c r="Q7" s="7"/>
    </row>
    <row r="8">
      <c r="B8" s="1">
        <f>'Goals (stn) Part 2'!B10</f>
        <v>17</v>
      </c>
      <c r="C8" s="10">
        <f t="shared" si="3"/>
        <v>45838</v>
      </c>
      <c r="D8" s="6"/>
      <c r="E8" s="7">
        <f>'June 2025'!E20</f>
        <v>16.65714286</v>
      </c>
      <c r="F8" s="7">
        <f>'June 2025'!F20</f>
        <v>16.64285714</v>
      </c>
      <c r="G8" s="7">
        <f>'June 2025'!G20</f>
        <v>16.72857143</v>
      </c>
      <c r="H8" s="7">
        <f>'June 2025'!H20</f>
        <v>16.55714286</v>
      </c>
      <c r="I8" s="7">
        <f>'June 2025'!I20</f>
        <v>16.48571429</v>
      </c>
      <c r="J8" s="7">
        <f>'June 2025'!J20</f>
        <v>16.27142857</v>
      </c>
      <c r="K8" s="7">
        <f>'June 2025'!K20</f>
        <v>16.65714286</v>
      </c>
      <c r="L8" s="7">
        <f t="shared" si="1"/>
        <v>16.27142857</v>
      </c>
      <c r="M8" s="7">
        <f t="shared" si="2"/>
        <v>16.72857143</v>
      </c>
      <c r="N8" s="7"/>
      <c r="O8" s="7"/>
      <c r="P8" s="6"/>
      <c r="Q8" s="7"/>
    </row>
    <row r="9">
      <c r="A9" s="1"/>
      <c r="B9" s="1"/>
      <c r="C9" s="10"/>
      <c r="D9" s="6"/>
      <c r="H9" s="6"/>
      <c r="M9" s="7"/>
      <c r="N9" s="7"/>
      <c r="O9" s="7"/>
      <c r="P9" s="6"/>
      <c r="Q9" s="7"/>
    </row>
    <row r="10">
      <c r="A10" s="1" t="s">
        <v>49</v>
      </c>
      <c r="B10" s="1">
        <f>'Goals (stn) Part 2'!B11</f>
        <v>18</v>
      </c>
      <c r="C10" s="10">
        <f>C8+7</f>
        <v>45845</v>
      </c>
      <c r="D10" s="6"/>
      <c r="E10" s="7">
        <f>'June 2025'!E24</f>
        <v>16.65714286</v>
      </c>
      <c r="F10" s="7">
        <f>'June 2025'!F24</f>
        <v>16.85714286</v>
      </c>
      <c r="G10" s="7">
        <f>'June 2025'!G24</f>
        <v>16.71428571</v>
      </c>
      <c r="H10" s="7">
        <f>'June 2025'!H24</f>
        <v>16.55714286</v>
      </c>
      <c r="I10" s="7">
        <f>'June 2025'!I24</f>
        <v>16.41428571</v>
      </c>
      <c r="J10" s="7">
        <f>'June 2025'!J24</f>
        <v>16.27142857</v>
      </c>
      <c r="K10" s="7">
        <f>'June 2025'!K24</f>
        <v>16.85714286</v>
      </c>
      <c r="L10" s="7">
        <f t="shared" ref="L10:L13" si="4">min(E10:K10)</f>
        <v>16.27142857</v>
      </c>
      <c r="M10" s="7">
        <f t="shared" ref="M10:M13" si="5">MAX(E10:K10)</f>
        <v>16.85714286</v>
      </c>
      <c r="N10" s="7"/>
      <c r="O10" s="7"/>
      <c r="P10" s="6"/>
      <c r="Q10" s="7"/>
    </row>
    <row r="11">
      <c r="A11" s="1"/>
      <c r="B11" s="1">
        <f>'Goals (stn) Part 2'!B12</f>
        <v>19</v>
      </c>
      <c r="C11" s="10">
        <f t="shared" ref="C11:C13" si="6">C10+7</f>
        <v>45852</v>
      </c>
      <c r="D11" s="6"/>
      <c r="E11" s="7">
        <f>'June 2025'!E16</f>
        <v>16.8</v>
      </c>
      <c r="F11" s="7">
        <f>'June 2025'!F16</f>
        <v>16.75714286</v>
      </c>
      <c r="G11" s="7">
        <f>'June 2025'!G16</f>
        <v>16.72857143</v>
      </c>
      <c r="H11" s="7">
        <f>'June 2025'!H16</f>
        <v>16.57142857</v>
      </c>
      <c r="I11" s="7">
        <f>'June 2025'!I16</f>
        <v>16.51428571</v>
      </c>
      <c r="J11" s="7">
        <f>'June 2025'!J16</f>
        <v>16.51428571</v>
      </c>
      <c r="K11" s="7">
        <f>'June 2025'!K16</f>
        <v>16.51428571</v>
      </c>
      <c r="L11" s="7">
        <f t="shared" si="4"/>
        <v>16.51428571</v>
      </c>
      <c r="M11" s="7">
        <f t="shared" si="5"/>
        <v>16.8</v>
      </c>
      <c r="N11" s="7"/>
      <c r="O11" s="7"/>
      <c r="P11" s="7"/>
      <c r="Q11" s="7"/>
    </row>
    <row r="12">
      <c r="A12" s="1"/>
      <c r="B12" s="1">
        <f>'Goals (stn) Part 2'!B13</f>
        <v>20</v>
      </c>
      <c r="C12" s="10">
        <f t="shared" si="6"/>
        <v>45859</v>
      </c>
      <c r="D12" s="6"/>
      <c r="E12" s="7">
        <f>'June 2025'!E32</f>
        <v>16.77142857</v>
      </c>
      <c r="F12" s="7">
        <f>'June 2025'!F32</f>
        <v>16.72857143</v>
      </c>
      <c r="G12" s="7">
        <f>'June 2025'!G32</f>
        <v>16.65714286</v>
      </c>
      <c r="H12" s="7">
        <f>'June 2025'!H32</f>
        <v>16.72857143</v>
      </c>
      <c r="I12" s="7">
        <f>'June 2025'!I32</f>
        <v>16.41428571</v>
      </c>
      <c r="J12" s="7">
        <f>'June 2025'!J32</f>
        <v>16.65714286</v>
      </c>
      <c r="K12" s="7">
        <f>'June 2025'!K32</f>
        <v>16.54285714</v>
      </c>
      <c r="L12" s="7">
        <f t="shared" si="4"/>
        <v>16.41428571</v>
      </c>
      <c r="M12" s="7">
        <f t="shared" si="5"/>
        <v>16.77142857</v>
      </c>
      <c r="N12" s="6"/>
      <c r="O12" s="7"/>
      <c r="P12" s="7"/>
      <c r="Q12" s="7"/>
    </row>
    <row r="13">
      <c r="A13" s="1"/>
      <c r="B13" s="1">
        <f>'Goals (stn) Part 2'!B14</f>
        <v>21</v>
      </c>
      <c r="C13" s="10">
        <f t="shared" si="6"/>
        <v>45866</v>
      </c>
      <c r="D13" s="6"/>
      <c r="E13" s="7">
        <f>'June 2025'!E36</f>
        <v>16.65714286</v>
      </c>
      <c r="F13" s="7">
        <f>'June 2025'!F36</f>
        <v>16.72857143</v>
      </c>
      <c r="G13" s="7">
        <f>'June 2025'!G36</f>
        <v>16.65714286</v>
      </c>
      <c r="H13" s="7">
        <f>'June 2025'!H36</f>
        <v>16.72857143</v>
      </c>
      <c r="I13" s="7">
        <f>'June 2025'!I36</f>
        <v>16.52857143</v>
      </c>
      <c r="J13" s="7">
        <f>'June 2025'!J36</f>
        <v>16.65714286</v>
      </c>
      <c r="K13" s="7">
        <f>'June 2025'!K36</f>
        <v>16.65714286</v>
      </c>
      <c r="L13" s="7">
        <f t="shared" si="4"/>
        <v>16.52857143</v>
      </c>
      <c r="M13" s="7">
        <f t="shared" si="5"/>
        <v>16.72857143</v>
      </c>
      <c r="N13" s="6"/>
      <c r="O13" s="7"/>
      <c r="P13" s="7"/>
      <c r="Q13" s="7"/>
    </row>
    <row r="14">
      <c r="A14" s="1"/>
      <c r="B14" s="1" t="str">
        <f>'Goals (stn) Part 2'!B15</f>
        <v/>
      </c>
      <c r="C14" s="6"/>
      <c r="D14" s="6"/>
      <c r="E14" s="2"/>
      <c r="F14" s="2"/>
      <c r="G14" s="2"/>
      <c r="H14" s="2"/>
      <c r="I14" s="2"/>
      <c r="J14" s="2"/>
      <c r="K14" s="2"/>
      <c r="L14" s="2"/>
      <c r="M14" s="7"/>
      <c r="N14" s="6"/>
      <c r="O14" s="7"/>
      <c r="P14" s="7"/>
      <c r="Q14" s="7"/>
    </row>
    <row r="15">
      <c r="A15" s="1" t="s">
        <v>6</v>
      </c>
      <c r="B15" s="1">
        <f>'Goals (stn) Part 2'!B16</f>
        <v>22</v>
      </c>
      <c r="C15" s="10">
        <f>C13+7</f>
        <v>45873</v>
      </c>
      <c r="D15" s="6"/>
      <c r="E15" s="9">
        <f>'July-August'!E4</f>
        <v>17</v>
      </c>
      <c r="F15" s="7">
        <f>'July-August'!F4</f>
        <v>16.61428571</v>
      </c>
      <c r="G15" s="7">
        <f>'July-August'!G4</f>
        <v>16.61428571</v>
      </c>
      <c r="H15" s="7">
        <f>'July-August'!H4</f>
        <v>16.61428571</v>
      </c>
      <c r="I15" s="7">
        <f>'July-August'!I4</f>
        <v>16.7125</v>
      </c>
      <c r="J15" s="9">
        <f>'July-August'!J4</f>
        <v>17</v>
      </c>
      <c r="K15" s="9">
        <f>'July-August'!K4</f>
        <v>16.7</v>
      </c>
      <c r="L15" s="7">
        <f t="shared" ref="L15:L18" si="7">min(E15:K15)</f>
        <v>16.61428571</v>
      </c>
      <c r="M15" s="7">
        <f t="shared" ref="M15:M18" si="8">MAX(E15:K15)</f>
        <v>17</v>
      </c>
      <c r="N15" s="7"/>
      <c r="O15" s="7"/>
      <c r="P15" s="7"/>
      <c r="Q15" s="7"/>
    </row>
    <row r="16">
      <c r="A16" s="1"/>
      <c r="B16" s="1">
        <f>'Goals (stn) Part 2'!B17</f>
        <v>23</v>
      </c>
      <c r="C16" s="10">
        <f t="shared" ref="C16:C18" si="9">C15+7</f>
        <v>45880</v>
      </c>
      <c r="D16" s="6"/>
      <c r="E16" s="7">
        <f>'June 2025'!E8</f>
        <v>17</v>
      </c>
      <c r="F16" s="7">
        <f>'June 2025'!F8</f>
        <v>17</v>
      </c>
      <c r="G16" s="7">
        <f>'June 2025'!G8</f>
        <v>16.74285714</v>
      </c>
      <c r="H16" s="7">
        <f>'June 2025'!H8</f>
        <v>16.42857143</v>
      </c>
      <c r="I16" s="7">
        <f>'June 2025'!I8</f>
        <v>16.22857143</v>
      </c>
      <c r="J16" s="7">
        <f>'June 2025'!J8</f>
        <v>16.15714286</v>
      </c>
      <c r="K16" s="7">
        <f>'June 2025'!K8</f>
        <v>16.35714286</v>
      </c>
      <c r="L16" s="7">
        <f t="shared" si="7"/>
        <v>16.15714286</v>
      </c>
      <c r="M16" s="7">
        <f t="shared" si="8"/>
        <v>17</v>
      </c>
      <c r="N16" s="7"/>
      <c r="O16" s="7"/>
      <c r="P16" s="7"/>
      <c r="Q16" s="7"/>
    </row>
    <row r="17">
      <c r="A17" s="1"/>
      <c r="B17" s="1">
        <f>'Goals (stn) Part 2'!B18</f>
        <v>24</v>
      </c>
      <c r="C17" s="10">
        <f t="shared" si="9"/>
        <v>45887</v>
      </c>
      <c r="D17" s="6"/>
      <c r="E17" s="7">
        <f>'July-August'!D12</f>
        <v>16.35714286</v>
      </c>
      <c r="F17" s="7">
        <f>'July-August'!E12</f>
        <v>16.58571429</v>
      </c>
      <c r="G17" s="7">
        <f>'July-August'!F12</f>
        <v>16.72857143</v>
      </c>
      <c r="H17" s="7">
        <f>'July-August'!G12</f>
        <v>16.81428571</v>
      </c>
      <c r="I17" s="7">
        <f>'July-August'!H12</f>
        <v>16.58571429</v>
      </c>
      <c r="J17" s="7">
        <f>'July-August'!I12</f>
        <v>16.94285714</v>
      </c>
      <c r="K17" s="7">
        <f>'July-August'!J12</f>
        <v>16.58571429</v>
      </c>
      <c r="L17" s="7">
        <f t="shared" si="7"/>
        <v>16.35714286</v>
      </c>
      <c r="M17" s="7">
        <f t="shared" si="8"/>
        <v>16.94285714</v>
      </c>
      <c r="N17" s="7"/>
      <c r="O17" s="7"/>
      <c r="Q17" s="7"/>
    </row>
    <row r="18">
      <c r="A18" s="1"/>
      <c r="B18" s="1">
        <f>'Goals (stn) Part 2'!B19</f>
        <v>25</v>
      </c>
      <c r="C18" s="10">
        <f t="shared" si="9"/>
        <v>45894</v>
      </c>
      <c r="D18" s="6"/>
      <c r="E18" s="7">
        <f>'July-August'!E16</f>
        <v>16.8</v>
      </c>
      <c r="F18" s="7">
        <f>'July-August'!F16</f>
        <v>16.75714286</v>
      </c>
      <c r="G18" s="7">
        <f>'July-August'!G16</f>
        <v>16.72857143</v>
      </c>
      <c r="H18" s="7">
        <f>'July-August'!H16</f>
        <v>16.57142857</v>
      </c>
      <c r="I18" s="7">
        <f>'July-August'!I16</f>
        <v>16.84285714</v>
      </c>
      <c r="J18" s="7">
        <f>'July-August'!J16</f>
        <v>16.84285714</v>
      </c>
      <c r="K18" s="7">
        <f>'July-August'!K16</f>
        <v>16.84285714</v>
      </c>
      <c r="L18" s="7">
        <f t="shared" si="7"/>
        <v>16.57142857</v>
      </c>
      <c r="M18" s="7">
        <f t="shared" si="8"/>
        <v>16.84285714</v>
      </c>
      <c r="N18" s="7"/>
      <c r="Q18" s="7"/>
      <c r="S18" s="7"/>
    </row>
    <row r="19">
      <c r="B19" s="1" t="str">
        <f>'Goals (stn) Part 2'!B20</f>
        <v/>
      </c>
      <c r="H19" s="7"/>
      <c r="M19" s="7"/>
      <c r="N19" s="7"/>
      <c r="Q19" s="7"/>
      <c r="S19" s="7"/>
    </row>
    <row r="20">
      <c r="A20" s="1" t="s">
        <v>50</v>
      </c>
      <c r="B20" s="1">
        <f>'Goals (stn) Part 2'!B21</f>
        <v>26</v>
      </c>
      <c r="C20" s="11">
        <f>C18+7</f>
        <v>45901</v>
      </c>
      <c r="E20" s="7">
        <f>September!E4</f>
        <v>16.85714286</v>
      </c>
      <c r="F20" s="7">
        <f>September!F4</f>
        <v>16.78571429</v>
      </c>
      <c r="G20" s="7">
        <f>September!G4</f>
        <v>16.37857143</v>
      </c>
      <c r="H20" s="7">
        <f>September!H4</f>
        <v>16.17857143</v>
      </c>
      <c r="I20" s="7">
        <f>September!I4</f>
        <v>16.41428571</v>
      </c>
      <c r="J20" s="7">
        <f>September!J4</f>
        <v>16.35714286</v>
      </c>
      <c r="K20" s="7">
        <f>September!K4</f>
        <v>16.62857143</v>
      </c>
      <c r="L20" s="7">
        <f t="shared" ref="L20:L23" si="10">min(E20:K20)</f>
        <v>16.17857143</v>
      </c>
      <c r="M20" s="7">
        <f t="shared" ref="M20:M23" si="11">MAX(E20:K20)</f>
        <v>16.85714286</v>
      </c>
      <c r="N20" s="7"/>
      <c r="Q20" s="7"/>
      <c r="S20" s="7"/>
    </row>
    <row r="21">
      <c r="B21" s="1">
        <f>'Goals (stn) Part 2'!B22</f>
        <v>27</v>
      </c>
      <c r="C21" s="11">
        <f t="shared" ref="C21:C23" si="12">C20+7</f>
        <v>45908</v>
      </c>
      <c r="E21" s="7">
        <f>September!E8</f>
        <v>16.57142857</v>
      </c>
      <c r="F21" s="7">
        <f>September!F8</f>
        <v>16.17142857</v>
      </c>
      <c r="G21" s="7">
        <f>September!G8</f>
        <v>16.28571429</v>
      </c>
      <c r="H21" s="7">
        <f>September!H8</f>
        <v>16.08571429</v>
      </c>
      <c r="I21" s="7">
        <f>September!I8</f>
        <v>16.14285714</v>
      </c>
      <c r="J21" s="7">
        <f>September!J8</f>
        <v>15.98571429</v>
      </c>
      <c r="K21" s="7">
        <f>September!K8</f>
        <v>16.28571429</v>
      </c>
      <c r="L21" s="7">
        <f t="shared" si="10"/>
        <v>15.98571429</v>
      </c>
      <c r="M21" s="7">
        <f t="shared" si="11"/>
        <v>16.57142857</v>
      </c>
      <c r="N21" s="7"/>
      <c r="R21" s="7"/>
    </row>
    <row r="22">
      <c r="B22" s="1">
        <f>'Goals (stn) Part 2'!B23</f>
        <v>28</v>
      </c>
      <c r="C22" s="11">
        <f t="shared" si="12"/>
        <v>45915</v>
      </c>
      <c r="E22" s="7">
        <f>September!E12</f>
        <v>16.34285714</v>
      </c>
      <c r="F22" s="7">
        <f>September!F12</f>
        <v>16.08571429</v>
      </c>
      <c r="G22" s="7">
        <f>September!G12</f>
        <v>15.82857143</v>
      </c>
      <c r="H22" s="7">
        <f>September!H12</f>
        <v>16</v>
      </c>
      <c r="I22" s="7">
        <f>September!I12</f>
        <v>15.68571429</v>
      </c>
      <c r="J22" s="7">
        <f>September!J12</f>
        <v>15.64285714</v>
      </c>
      <c r="K22" s="7">
        <f>September!K12</f>
        <v>15.68571429</v>
      </c>
      <c r="L22" s="7">
        <f t="shared" si="10"/>
        <v>15.64285714</v>
      </c>
      <c r="M22" s="7">
        <f t="shared" si="11"/>
        <v>16.34285714</v>
      </c>
      <c r="N22" s="7"/>
    </row>
    <row r="23">
      <c r="B23" s="1">
        <f>'Goals (stn) Part 2'!B24</f>
        <v>29</v>
      </c>
      <c r="C23" s="11">
        <f t="shared" si="12"/>
        <v>45922</v>
      </c>
      <c r="E23" s="7">
        <f>September!E16</f>
        <v>15.91428571</v>
      </c>
      <c r="F23" s="7">
        <f>September!F16</f>
        <v>15.92857143</v>
      </c>
      <c r="G23" s="7">
        <f>September!G16</f>
        <v>15.62857143</v>
      </c>
      <c r="H23" s="7">
        <f>September!H16</f>
        <v>15.38571429</v>
      </c>
      <c r="I23" s="7">
        <f>September!I16</f>
        <v>15.28571429</v>
      </c>
      <c r="J23" s="7">
        <f>September!J16</f>
        <v>15.5</v>
      </c>
      <c r="K23" s="7">
        <f>September!K16</f>
        <v>15.5</v>
      </c>
      <c r="L23" s="7">
        <f t="shared" si="10"/>
        <v>15.28571429</v>
      </c>
      <c r="M23" s="7">
        <f t="shared" si="11"/>
        <v>15.92857143</v>
      </c>
      <c r="N23" s="7"/>
    </row>
    <row r="24">
      <c r="F24" s="6"/>
      <c r="G24" s="7"/>
      <c r="H24" s="6"/>
      <c r="I24" s="7"/>
      <c r="M24" s="7"/>
      <c r="N24" s="7"/>
    </row>
    <row r="25">
      <c r="A25" s="1" t="s">
        <v>8</v>
      </c>
      <c r="B25" s="1">
        <f>'Goals (stn) Part 2'!B25</f>
        <v>30</v>
      </c>
      <c r="C25" s="11">
        <f>C23+7</f>
        <v>45929</v>
      </c>
      <c r="E25" s="7">
        <f>September!E20</f>
        <v>16.5</v>
      </c>
      <c r="F25" s="7">
        <f>September!F20</f>
        <v>16.24285714</v>
      </c>
      <c r="G25" s="7">
        <f>September!G20</f>
        <v>15.78571429</v>
      </c>
      <c r="H25" s="7">
        <f>September!H20</f>
        <v>15.85714286</v>
      </c>
      <c r="I25" s="7">
        <f>September!I20</f>
        <v>15.78571429</v>
      </c>
      <c r="J25" s="7">
        <f>September!J20</f>
        <v>15.98571429</v>
      </c>
      <c r="K25" s="7">
        <f>September!K20</f>
        <v>16.14285714</v>
      </c>
      <c r="L25" s="7">
        <f t="shared" ref="L25:L29" si="13">min(E25:K25)</f>
        <v>15.78571429</v>
      </c>
      <c r="M25" s="7">
        <f t="shared" ref="M25:M29" si="14">MAX(E25:K25)</f>
        <v>16.5</v>
      </c>
      <c r="N25" s="7"/>
    </row>
    <row r="26">
      <c r="B26" s="1">
        <f>'Goals (stn) Part 2'!B27</f>
        <v>31</v>
      </c>
      <c r="C26" s="11">
        <f t="shared" ref="C26:C29" si="15">C25+7</f>
        <v>45936</v>
      </c>
      <c r="E26" s="7">
        <f>October!E4</f>
        <v>16.14285714</v>
      </c>
      <c r="F26" s="7">
        <f>October!F4</f>
        <v>16</v>
      </c>
      <c r="G26" s="7">
        <f>October!G4</f>
        <v>16</v>
      </c>
      <c r="H26" s="7">
        <f>October!H4</f>
        <v>15.5</v>
      </c>
      <c r="I26" s="7">
        <f>October!I4</f>
        <v>15.77142857</v>
      </c>
      <c r="J26" s="7">
        <f>October!J4</f>
        <v>15.72857143</v>
      </c>
      <c r="K26" s="7">
        <f>October!K4</f>
        <v>15.72857143</v>
      </c>
      <c r="L26" s="7">
        <f t="shared" si="13"/>
        <v>15.5</v>
      </c>
      <c r="M26" s="7">
        <f t="shared" si="14"/>
        <v>16.14285714</v>
      </c>
      <c r="N26" s="7"/>
    </row>
    <row r="27">
      <c r="B27" s="1">
        <f>'Goals (stn) Part 2'!B28</f>
        <v>32</v>
      </c>
      <c r="C27" s="11">
        <f t="shared" si="15"/>
        <v>45943</v>
      </c>
      <c r="E27" s="7">
        <f>October!E8</f>
        <v>16</v>
      </c>
      <c r="F27" s="7">
        <f>October!F8</f>
        <v>15.6</v>
      </c>
      <c r="G27" s="7">
        <f>October!G8</f>
        <v>15.34285714</v>
      </c>
      <c r="H27" s="7">
        <f>October!H8</f>
        <v>15.5</v>
      </c>
      <c r="I27" s="7">
        <f>October!I8</f>
        <v>15.38571429</v>
      </c>
      <c r="J27" s="7">
        <f>October!J8</f>
        <v>15.38571429</v>
      </c>
      <c r="K27" s="7">
        <f>October!K8</f>
        <v>15.64285714</v>
      </c>
      <c r="L27" s="7">
        <f t="shared" si="13"/>
        <v>15.34285714</v>
      </c>
      <c r="M27" s="7">
        <f t="shared" si="14"/>
        <v>16</v>
      </c>
      <c r="N27" s="7"/>
    </row>
    <row r="28">
      <c r="B28" s="1">
        <f>'Goals (stn) Part 2'!B29</f>
        <v>33</v>
      </c>
      <c r="C28" s="11">
        <f t="shared" si="15"/>
        <v>45950</v>
      </c>
      <c r="E28" s="7">
        <f>October!E12</f>
        <v>15.5</v>
      </c>
      <c r="F28" s="7">
        <f>October!F12</f>
        <v>15.64285714</v>
      </c>
      <c r="G28" s="7">
        <f>October!G12</f>
        <v>15.22857143</v>
      </c>
      <c r="H28" s="7">
        <f>October!H12</f>
        <v>14.94285714</v>
      </c>
      <c r="I28" s="7">
        <f>October!I12</f>
        <v>14.94285714</v>
      </c>
      <c r="J28" s="7">
        <f>October!J12</f>
        <v>15.16428571</v>
      </c>
      <c r="K28" s="7">
        <f>October!K12</f>
        <v>15.41428571</v>
      </c>
      <c r="L28" s="7">
        <f t="shared" si="13"/>
        <v>14.94285714</v>
      </c>
      <c r="M28" s="7">
        <f t="shared" si="14"/>
        <v>15.64285714</v>
      </c>
      <c r="N28" s="7"/>
    </row>
    <row r="29">
      <c r="B29" s="1">
        <f>'Goals (stn) Part 2'!B30</f>
        <v>34</v>
      </c>
      <c r="C29" s="11">
        <f t="shared" si="15"/>
        <v>45957</v>
      </c>
      <c r="E29" s="7">
        <f>October!E16</f>
        <v>15.41428571</v>
      </c>
      <c r="F29" s="7">
        <f>October!F16</f>
        <v>15.01428571</v>
      </c>
      <c r="G29" s="7">
        <f>October!G16</f>
        <v>14.85714286</v>
      </c>
      <c r="H29" s="7">
        <f>October!H16</f>
        <v>15</v>
      </c>
      <c r="I29" s="7">
        <f>October!I16</f>
        <v>14.85714286</v>
      </c>
      <c r="J29" s="7">
        <f>October!J16</f>
        <v>14.82142857</v>
      </c>
      <c r="K29" s="7">
        <f>October!K16</f>
        <v>14.82142857</v>
      </c>
      <c r="L29" s="7">
        <f t="shared" si="13"/>
        <v>14.82142857</v>
      </c>
      <c r="M29" s="7">
        <f t="shared" si="14"/>
        <v>15.41428571</v>
      </c>
      <c r="N29" s="7"/>
    </row>
    <row r="30">
      <c r="B30" s="1" t="str">
        <f>'Goals (stn) Part 2'!B31</f>
        <v/>
      </c>
      <c r="G30" s="7"/>
      <c r="H30" s="7"/>
      <c r="I30" s="7"/>
      <c r="O30" s="7"/>
    </row>
    <row r="31">
      <c r="A31" s="1" t="s">
        <v>61</v>
      </c>
      <c r="B31" s="1">
        <f>'Goals (stn) Part 2'!B32</f>
        <v>35</v>
      </c>
      <c r="C31" s="11">
        <f>C29+7</f>
        <v>45964</v>
      </c>
      <c r="E31" s="7">
        <f>November!E4</f>
        <v>14.97142857</v>
      </c>
      <c r="F31" s="7">
        <f>November!F4</f>
        <v>15.25714286</v>
      </c>
      <c r="G31" s="7">
        <f>November!G4</f>
        <v>15.25714286</v>
      </c>
      <c r="H31" s="7">
        <f>November!H4</f>
        <v>15</v>
      </c>
      <c r="I31" s="7">
        <f>November!I4</f>
        <v>15.25</v>
      </c>
      <c r="J31" s="7">
        <f>November!J4</f>
        <v>15.5</v>
      </c>
      <c r="K31" s="7">
        <f>November!K4</f>
        <v>15.5</v>
      </c>
      <c r="L31" s="7">
        <f t="shared" ref="L31:L34" si="16">min(E31:K31)</f>
        <v>14.97142857</v>
      </c>
      <c r="M31" s="7">
        <f t="shared" ref="M31:M34" si="17">MAX(E31:K31)</f>
        <v>15.5</v>
      </c>
    </row>
    <row r="32">
      <c r="B32" s="1">
        <f>'Goals (stn) Part 2'!B33</f>
        <v>36</v>
      </c>
      <c r="C32" s="11">
        <f t="shared" ref="C32:C34" si="18">C31+7</f>
        <v>45971</v>
      </c>
      <c r="E32" s="7">
        <f>November!D8</f>
        <v>15.5</v>
      </c>
      <c r="F32" s="7">
        <f>November!E8</f>
        <v>15.5</v>
      </c>
      <c r="G32" s="7">
        <f>November!F8</f>
        <v>15.5</v>
      </c>
      <c r="H32" s="7">
        <f>November!G8</f>
        <v>15</v>
      </c>
      <c r="I32" s="7">
        <f>November!H8</f>
        <v>15</v>
      </c>
      <c r="J32" s="7">
        <f>November!I8</f>
        <v>15</v>
      </c>
      <c r="K32" s="7">
        <f>November!J8</f>
        <v>15</v>
      </c>
      <c r="L32" s="7">
        <f t="shared" si="16"/>
        <v>15</v>
      </c>
      <c r="M32" s="7">
        <f t="shared" si="17"/>
        <v>15.5</v>
      </c>
    </row>
    <row r="33">
      <c r="B33" s="1">
        <f>'Goals (stn) Part 2'!B34</f>
        <v>37</v>
      </c>
      <c r="C33" s="11">
        <f t="shared" si="18"/>
        <v>45978</v>
      </c>
      <c r="E33" s="7">
        <f>November!E12</f>
        <v>15.5</v>
      </c>
      <c r="F33" s="7">
        <f>November!F12</f>
        <v>15.25</v>
      </c>
      <c r="G33" s="7">
        <f>November!G12</f>
        <v>15</v>
      </c>
      <c r="H33" s="7">
        <f>November!H12</f>
        <v>14.67142857</v>
      </c>
      <c r="I33" s="7">
        <f>November!I12</f>
        <v>14.52857143</v>
      </c>
      <c r="J33" s="7">
        <f>November!J12</f>
        <v>14.81428571</v>
      </c>
      <c r="K33" s="7">
        <f>November!K12</f>
        <v>14.92857143</v>
      </c>
      <c r="L33" s="7">
        <f t="shared" si="16"/>
        <v>14.52857143</v>
      </c>
      <c r="M33" s="7">
        <f t="shared" si="17"/>
        <v>15.5</v>
      </c>
    </row>
    <row r="34">
      <c r="B34" s="1">
        <f>'Goals (stn) Part 2'!B35</f>
        <v>38</v>
      </c>
      <c r="C34" s="11">
        <f t="shared" si="18"/>
        <v>45985</v>
      </c>
      <c r="E34" s="7">
        <f>November!E16</f>
        <v>14.75</v>
      </c>
      <c r="F34" s="7">
        <f>November!F16</f>
        <v>14.75</v>
      </c>
      <c r="G34" s="7">
        <f>November!G16</f>
        <v>14.64285714</v>
      </c>
      <c r="H34" s="7">
        <f>November!H16</f>
        <v>15</v>
      </c>
      <c r="I34" s="7">
        <f>November!I16</f>
        <v>15</v>
      </c>
      <c r="J34" s="7">
        <f>November!J16</f>
        <v>14.64285714</v>
      </c>
      <c r="K34" s="7">
        <f>November!K16</f>
        <v>14.64285714</v>
      </c>
      <c r="L34" s="7">
        <f t="shared" si="16"/>
        <v>14.64285714</v>
      </c>
      <c r="M34" s="7">
        <f t="shared" si="17"/>
        <v>15</v>
      </c>
    </row>
    <row r="36">
      <c r="E36" s="7"/>
      <c r="F36" s="7"/>
      <c r="G36" s="7"/>
      <c r="H36" s="7"/>
      <c r="I36" s="7"/>
      <c r="J36" s="7"/>
      <c r="K36" s="7"/>
      <c r="L36" s="7"/>
      <c r="M36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6.25"/>
    <col customWidth="1" min="5" max="5" width="27.0"/>
  </cols>
  <sheetData>
    <row r="2">
      <c r="C2" s="16" t="s">
        <v>51</v>
      </c>
    </row>
    <row r="3">
      <c r="C3" s="17" t="s">
        <v>52</v>
      </c>
      <c r="D3" s="17"/>
      <c r="E3" s="18" t="s">
        <v>53</v>
      </c>
    </row>
    <row r="4">
      <c r="C4" s="19">
        <v>45901.0</v>
      </c>
      <c r="D4" s="20" t="s">
        <v>54</v>
      </c>
      <c r="E4" s="21">
        <v>16.51</v>
      </c>
    </row>
    <row r="5">
      <c r="C5" s="19">
        <v>45908.0</v>
      </c>
      <c r="D5" s="20" t="s">
        <v>57</v>
      </c>
      <c r="E5" s="21">
        <v>16.22</v>
      </c>
    </row>
    <row r="6">
      <c r="C6" s="19">
        <v>6703920.0</v>
      </c>
      <c r="D6" s="20" t="s">
        <v>54</v>
      </c>
      <c r="E6" s="21">
        <v>15.9</v>
      </c>
    </row>
    <row r="7">
      <c r="C7" s="19">
        <v>45922.0</v>
      </c>
      <c r="D7" s="20" t="s">
        <v>57</v>
      </c>
      <c r="E7" s="21">
        <v>15.59</v>
      </c>
      <c r="K7" s="7"/>
    </row>
    <row r="8">
      <c r="C8" s="19">
        <v>45929.0</v>
      </c>
      <c r="D8" s="20" t="s">
        <v>59</v>
      </c>
      <c r="E8" s="21">
        <v>16.04</v>
      </c>
    </row>
    <row r="10">
      <c r="A10" s="1" t="s">
        <v>60</v>
      </c>
    </row>
    <row r="12">
      <c r="A12" s="1" t="s">
        <v>53</v>
      </c>
    </row>
  </sheetData>
  <mergeCells count="1">
    <mergeCell ref="C2:E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6" t="s">
        <v>51</v>
      </c>
    </row>
    <row r="3">
      <c r="B3" s="17" t="s">
        <v>52</v>
      </c>
      <c r="C3" s="17" t="s">
        <v>55</v>
      </c>
      <c r="D3" s="17" t="s">
        <v>56</v>
      </c>
    </row>
    <row r="4">
      <c r="B4" s="22">
        <v>45936.0</v>
      </c>
      <c r="C4" s="20" t="s">
        <v>58</v>
      </c>
      <c r="D4" s="17">
        <v>15.84</v>
      </c>
    </row>
    <row r="5">
      <c r="B5" s="23">
        <v>45943.0</v>
      </c>
      <c r="C5" s="20" t="s">
        <v>59</v>
      </c>
      <c r="D5" s="17">
        <v>15.55</v>
      </c>
    </row>
    <row r="6">
      <c r="B6" s="23">
        <v>45950.0</v>
      </c>
      <c r="C6" s="20" t="s">
        <v>57</v>
      </c>
      <c r="D6" s="17">
        <v>15.26</v>
      </c>
    </row>
    <row r="7">
      <c r="B7" s="23">
        <v>45957.0</v>
      </c>
      <c r="C7" s="20" t="s">
        <v>54</v>
      </c>
      <c r="D7" s="17">
        <v>14.97</v>
      </c>
    </row>
    <row r="8">
      <c r="D8" s="1">
        <v>0.0</v>
      </c>
    </row>
  </sheetData>
  <mergeCells count="1">
    <mergeCell ref="B2:D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6" t="s">
        <v>51</v>
      </c>
    </row>
    <row r="4">
      <c r="D4" s="17" t="s">
        <v>52</v>
      </c>
      <c r="E4" s="17" t="s">
        <v>55</v>
      </c>
      <c r="F4" s="17" t="s">
        <v>53</v>
      </c>
    </row>
    <row r="5">
      <c r="D5" s="22">
        <v>45964.0</v>
      </c>
      <c r="E5" s="17">
        <v>1.0</v>
      </c>
      <c r="F5" s="17">
        <v>15.25</v>
      </c>
    </row>
    <row r="6">
      <c r="D6" s="23">
        <v>45971.0</v>
      </c>
      <c r="E6" s="17">
        <v>2.0</v>
      </c>
      <c r="F6" s="17">
        <v>15.14</v>
      </c>
    </row>
    <row r="7">
      <c r="D7" s="23">
        <v>45978.0</v>
      </c>
      <c r="E7" s="17">
        <v>3.0</v>
      </c>
      <c r="F7" s="17">
        <v>14.96</v>
      </c>
    </row>
    <row r="8">
      <c r="D8" s="23">
        <v>45985.0</v>
      </c>
      <c r="E8" s="17">
        <v>4.0</v>
      </c>
      <c r="F8" s="17">
        <v>14.78</v>
      </c>
    </row>
    <row r="9">
      <c r="F9" s="1">
        <v>0.0</v>
      </c>
    </row>
  </sheetData>
  <mergeCells count="1">
    <mergeCell ref="D3:F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</cols>
  <sheetData>
    <row r="3">
      <c r="C3" s="16"/>
    </row>
    <row r="4">
      <c r="C4" s="17" t="s">
        <v>52</v>
      </c>
      <c r="D4" s="17"/>
      <c r="E4" s="17" t="s">
        <v>62</v>
      </c>
    </row>
    <row r="5">
      <c r="C5" s="22">
        <v>46027.0</v>
      </c>
      <c r="D5" s="17">
        <v>3.0</v>
      </c>
      <c r="E5" s="17">
        <v>15.26</v>
      </c>
    </row>
    <row r="6">
      <c r="C6" s="22">
        <v>46034.0</v>
      </c>
      <c r="D6" s="17">
        <v>3.0</v>
      </c>
      <c r="E6" s="17">
        <v>15.18</v>
      </c>
    </row>
    <row r="7">
      <c r="C7" s="22">
        <v>46041.0</v>
      </c>
      <c r="D7" s="17">
        <v>3.0</v>
      </c>
      <c r="E7" s="17">
        <v>15.0</v>
      </c>
    </row>
    <row r="8">
      <c r="C8" s="17" t="s">
        <v>64</v>
      </c>
      <c r="D8" s="17">
        <v>0.0</v>
      </c>
      <c r="E8" s="17">
        <v>15.5</v>
      </c>
    </row>
  </sheetData>
  <mergeCells count="1">
    <mergeCell ref="C3:E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4" t="s">
        <v>63</v>
      </c>
      <c r="C2" s="25" t="s">
        <v>55</v>
      </c>
      <c r="D2" s="25" t="s">
        <v>65</v>
      </c>
      <c r="E2" s="25" t="s">
        <v>66</v>
      </c>
      <c r="F2" s="25" t="s">
        <v>67</v>
      </c>
    </row>
    <row r="3">
      <c r="B3" s="26">
        <v>46266.0</v>
      </c>
      <c r="C3" s="20" t="s">
        <v>54</v>
      </c>
      <c r="D3" s="17">
        <v>16.51</v>
      </c>
      <c r="E3" s="17">
        <v>-0.23</v>
      </c>
      <c r="F3" s="17">
        <v>-3.2</v>
      </c>
    </row>
    <row r="4">
      <c r="B4" s="26">
        <v>46273.0</v>
      </c>
      <c r="C4" s="20" t="s">
        <v>57</v>
      </c>
      <c r="D4" s="17">
        <v>16.22</v>
      </c>
      <c r="E4" s="17">
        <v>-0.29</v>
      </c>
      <c r="F4" s="17">
        <v>-4.0</v>
      </c>
    </row>
    <row r="5">
      <c r="B5" s="26">
        <v>46280.0</v>
      </c>
      <c r="C5" s="20" t="s">
        <v>54</v>
      </c>
      <c r="D5" s="17">
        <v>15.9</v>
      </c>
      <c r="E5" s="17">
        <v>-0.66</v>
      </c>
      <c r="F5" s="17">
        <v>-9.2</v>
      </c>
    </row>
    <row r="6">
      <c r="B6" s="26">
        <v>46287.0</v>
      </c>
      <c r="C6" s="20" t="s">
        <v>57</v>
      </c>
      <c r="D6" s="17">
        <v>15.59</v>
      </c>
      <c r="E6" s="17">
        <v>-0.41</v>
      </c>
      <c r="F6" s="17">
        <v>-5.8</v>
      </c>
    </row>
    <row r="7">
      <c r="B7" s="26">
        <v>46294.0</v>
      </c>
      <c r="C7" s="20" t="s">
        <v>59</v>
      </c>
      <c r="D7" s="17">
        <v>16.04</v>
      </c>
      <c r="E7" s="17">
        <v>-0.36</v>
      </c>
      <c r="F7" s="17">
        <v>-5.0</v>
      </c>
    </row>
    <row r="8">
      <c r="B8" s="26">
        <v>46301.0</v>
      </c>
      <c r="C8" s="20" t="s">
        <v>58</v>
      </c>
      <c r="D8" s="17">
        <v>15.84</v>
      </c>
      <c r="E8" s="17">
        <v>-0.41</v>
      </c>
      <c r="F8" s="17">
        <v>-5.8</v>
      </c>
    </row>
    <row r="9">
      <c r="B9" s="27">
        <v>46308.0</v>
      </c>
      <c r="C9" s="20" t="s">
        <v>59</v>
      </c>
      <c r="D9" s="17">
        <v>15.55</v>
      </c>
      <c r="E9" s="17">
        <v>-0.36</v>
      </c>
      <c r="F9" s="17">
        <v>-5.0</v>
      </c>
    </row>
    <row r="10">
      <c r="B10" s="27">
        <v>46315.0</v>
      </c>
      <c r="C10" s="20" t="s">
        <v>57</v>
      </c>
      <c r="D10" s="17">
        <v>15.26</v>
      </c>
      <c r="E10" s="17">
        <v>-0.09</v>
      </c>
      <c r="F10" s="17">
        <v>-1.2</v>
      </c>
    </row>
    <row r="11">
      <c r="B11" s="27">
        <v>46322.0</v>
      </c>
      <c r="C11" s="20" t="s">
        <v>54</v>
      </c>
      <c r="D11" s="17">
        <v>14.97</v>
      </c>
      <c r="E11" s="17">
        <v>-0.59</v>
      </c>
      <c r="F11" s="17">
        <v>-8.3</v>
      </c>
    </row>
    <row r="12">
      <c r="B12" s="26">
        <v>46329.0</v>
      </c>
      <c r="C12" s="20" t="s">
        <v>58</v>
      </c>
      <c r="D12" s="17">
        <v>15.25</v>
      </c>
      <c r="E12" s="28">
        <f>+0.53</f>
        <v>0.53</v>
      </c>
      <c r="F12" s="28">
        <f>+7.4</f>
        <v>7.4</v>
      </c>
    </row>
    <row r="13">
      <c r="B13" s="27">
        <v>46336.0</v>
      </c>
      <c r="C13" s="20" t="s">
        <v>59</v>
      </c>
      <c r="D13" s="17">
        <v>15.14</v>
      </c>
      <c r="E13" s="17">
        <v>-0.5</v>
      </c>
      <c r="F13" s="17">
        <v>-7.0</v>
      </c>
    </row>
    <row r="14">
      <c r="B14" s="27">
        <v>46343.0</v>
      </c>
      <c r="C14" s="20" t="s">
        <v>57</v>
      </c>
      <c r="D14" s="17">
        <v>14.96</v>
      </c>
      <c r="E14" s="17">
        <v>-0.57</v>
      </c>
      <c r="F14" s="17">
        <v>-8.0</v>
      </c>
    </row>
    <row r="15">
      <c r="B15" s="27">
        <v>46350.0</v>
      </c>
      <c r="C15" s="20" t="s">
        <v>54</v>
      </c>
      <c r="D15" s="17">
        <v>14.78</v>
      </c>
      <c r="E15" s="17">
        <v>-0.11</v>
      </c>
      <c r="F15" s="17">
        <v>-1.5</v>
      </c>
    </row>
    <row r="16">
      <c r="B16" s="26">
        <v>46027.0</v>
      </c>
      <c r="C16" s="20" t="s">
        <v>57</v>
      </c>
      <c r="D16" s="17">
        <v>15.26</v>
      </c>
      <c r="E16" s="17">
        <v>-0.41</v>
      </c>
      <c r="F16" s="17">
        <v>-5.8</v>
      </c>
    </row>
    <row r="17">
      <c r="B17" s="26">
        <v>46034.0</v>
      </c>
      <c r="C17" s="20" t="s">
        <v>57</v>
      </c>
      <c r="D17" s="17">
        <v>15.18</v>
      </c>
      <c r="E17" s="17">
        <v>-0.1</v>
      </c>
      <c r="F17" s="17">
        <v>-1.4</v>
      </c>
    </row>
    <row r="18">
      <c r="B18" s="26">
        <v>46041.0</v>
      </c>
      <c r="C18" s="20" t="s">
        <v>57</v>
      </c>
      <c r="D18" s="17">
        <v>15.1</v>
      </c>
      <c r="E18" s="17">
        <v>0.5</v>
      </c>
      <c r="F18" s="17">
        <v>-7.0</v>
      </c>
    </row>
    <row r="19">
      <c r="B19" s="26">
        <v>46048.0</v>
      </c>
      <c r="C19" s="20" t="s">
        <v>68</v>
      </c>
      <c r="D19" s="17">
        <v>15.5</v>
      </c>
      <c r="E19" s="17">
        <v>0.0</v>
      </c>
      <c r="F19" s="17">
        <v>0.0</v>
      </c>
    </row>
    <row r="23">
      <c r="I23" s="29">
        <f>30*15.75</f>
        <v>472.5</v>
      </c>
      <c r="J23" s="29">
        <f>I23*52</f>
        <v>24570</v>
      </c>
      <c r="K23" s="29">
        <f>J23/12</f>
        <v>2047.5</v>
      </c>
    </row>
  </sheetData>
  <drawing r:id="rId1"/>
</worksheet>
</file>